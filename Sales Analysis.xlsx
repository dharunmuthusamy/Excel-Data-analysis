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drawings/drawing7.xml" ContentType="application/vnd.openxmlformats-officedocument.drawing+xml"/>
  <Override PartName="/xl/pivotTables/pivotTable6.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harun MR\Downloads\"/>
    </mc:Choice>
  </mc:AlternateContent>
  <xr:revisionPtr revIDLastSave="0" documentId="13_ncr:1_{900C9BF7-2013-482D-B1D7-41FB6D5320F8}" xr6:coauthVersionLast="47" xr6:coauthVersionMax="47" xr10:uidLastSave="{00000000-0000-0000-0000-000000000000}"/>
  <bookViews>
    <workbookView xWindow="-108" yWindow="-108" windowWidth="23256" windowHeight="13176" xr2:uid="{26D4546B-D2A1-4444-8EAF-A6228F96F0C1}"/>
  </bookViews>
  <sheets>
    <sheet name="Data" sheetId="1" r:id="rId1"/>
    <sheet name="1" sheetId="2" r:id="rId2"/>
    <sheet name="2" sheetId="4" r:id="rId3"/>
    <sheet name="3" sheetId="5" r:id="rId4"/>
    <sheet name="4" sheetId="6" r:id="rId5"/>
    <sheet name="5" sheetId="15" r:id="rId6"/>
    <sheet name="6" sheetId="8" r:id="rId7"/>
    <sheet name="7" sheetId="20" r:id="rId8"/>
    <sheet name="8" sheetId="17" r:id="rId9"/>
    <sheet name="9" sheetId="22" r:id="rId10"/>
    <sheet name="10" sheetId="25" r:id="rId11"/>
  </sheets>
  <definedNames>
    <definedName name="_xlnm._FilterDatabase" localSheetId="3" hidden="1">'3'!$C$8:$F$14</definedName>
    <definedName name="_xlnm._FilterDatabase" localSheetId="8" hidden="1">'8'!$C$8:$F$14</definedName>
    <definedName name="_xlnm._FilterDatabase" localSheetId="0" hidden="1">Data!$C$10:$G$10</definedName>
    <definedName name="_xlchart.v1.0" hidden="1">'6'!$U$7:$U$307</definedName>
    <definedName name="_xlchart.v1.1" hidden="1">'6'!$W$2:$W$6</definedName>
    <definedName name="_xlchart.v1.2" hidden="1">'6'!$W$7:$W$307</definedName>
    <definedName name="_xlcn.WorksheetConnection_beginnerDAcourseblank.xlsxdata" hidden="1">data[]</definedName>
    <definedName name="_xlcn.WorksheetConnection_beginnerDAcourseblank.xlsxproducts" hidden="1">products[]</definedName>
    <definedName name="_xlcn.WorksheetConnection_beginnerDAcourseblank.xlsxproducts8" hidden="1">products8</definedName>
    <definedName name="Slicer_Geography">#N/A</definedName>
    <definedName name="Slicer_Geography1">#N/A</definedName>
    <definedName name="Slicer_Product">#N/A</definedName>
    <definedName name="Slicer_Sales_Person">#N/A</definedName>
    <definedName name="Slicer_Sales_Person1">#N/A</definedName>
  </definedNames>
  <calcPr calcId="191029"/>
  <pivotCaches>
    <pivotCache cacheId="0" r:id="rId12"/>
    <pivotCache cacheId="1" r:id="rId13"/>
    <pivotCache cacheId="2" r:id="rId14"/>
    <pivotCache cacheId="3" r:id="rId15"/>
  </pivotCaches>
  <extLst>
    <ext xmlns:x14="http://schemas.microsoft.com/office/spreadsheetml/2009/9/main" uri="{876F7934-8845-4945-9796-88D515C7AA90}">
      <x14:pivotCaches>
        <pivotCache cacheId="4" r:id="rId16"/>
        <pivotCache cacheId="5"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8" name="products8" connection="WorksheetConnection_beginner-DA-course-blank.xlsx!products8"/>
          <x15:modelTable id="products" name="products" connection="WorksheetConnection_beginner-DA-course-blank.xlsx!products"/>
          <x15:modelTable id="data" name="data" connection="WorksheetConnection_beginner-DA-course-blank.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 i="22" l="1"/>
  <c r="K13" i="22" s="1"/>
  <c r="J22" i="22"/>
  <c r="J21" i="22"/>
  <c r="J20" i="22"/>
  <c r="J19" i="22"/>
  <c r="J18" i="22"/>
  <c r="J17" i="22"/>
  <c r="J13" i="22"/>
  <c r="J14" i="22"/>
  <c r="J15" i="22"/>
  <c r="J16" i="22"/>
  <c r="I22" i="22"/>
  <c r="K22" i="22" s="1"/>
  <c r="I21" i="22"/>
  <c r="K21" i="22" s="1"/>
  <c r="I20" i="22"/>
  <c r="K20" i="22" s="1"/>
  <c r="I19" i="22"/>
  <c r="K19" i="22" s="1"/>
  <c r="I14" i="22"/>
  <c r="K14" i="22" s="1"/>
  <c r="I15" i="22"/>
  <c r="K15" i="22" s="1"/>
  <c r="I16" i="22"/>
  <c r="K16" i="22" s="1"/>
  <c r="I17" i="22"/>
  <c r="K17" i="22" s="1"/>
  <c r="I18" i="22"/>
  <c r="K18" i="22" s="1"/>
  <c r="H13" i="22" a="1"/>
  <c r="H13" i="22" s="1"/>
  <c r="D18" i="22"/>
  <c r="E18" i="22"/>
  <c r="D17" i="22"/>
  <c r="E17" i="22"/>
  <c r="D16" i="22"/>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D15" i="22"/>
  <c r="E15" i="22"/>
  <c r="F12" i="22"/>
  <c r="T8" i="22" a="1"/>
  <c r="T8" i="22"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C9" i="5" a="1"/>
  <c r="C9" i="5" s="1"/>
  <c r="D9" i="5" s="1"/>
  <c r="E9" i="5" s="1"/>
  <c r="L40" i="2"/>
  <c r="K17" i="2" a="1"/>
  <c r="K17" i="2" s="1"/>
  <c r="E11" i="2"/>
  <c r="D11" i="2"/>
  <c r="D10" i="2"/>
  <c r="E10" i="2"/>
  <c r="E8" i="2"/>
  <c r="D8" i="2"/>
  <c r="D7" i="2"/>
  <c r="E7" i="2"/>
  <c r="E6" i="2"/>
  <c r="D6" i="2"/>
  <c r="E5" i="2"/>
  <c r="D5" i="2"/>
  <c r="E16" i="22" l="1"/>
  <c r="F14" i="5"/>
  <c r="D14" i="5"/>
  <c r="E14" i="5" s="1"/>
  <c r="F11" i="5"/>
  <c r="D11" i="5"/>
  <c r="E11" i="5" s="1"/>
  <c r="F12" i="5"/>
  <c r="D12" i="5"/>
  <c r="E12" i="5" s="1"/>
  <c r="F10" i="5"/>
  <c r="D10" i="5"/>
  <c r="E10" i="5" s="1"/>
  <c r="D9" i="2"/>
  <c r="E9" i="2"/>
  <c r="D13" i="5"/>
  <c r="E13" i="5" s="1"/>
  <c r="F13" i="5"/>
  <c r="F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49B967-D1B5-4E75-AB74-0FFE3A5AED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1136970-87E2-4B01-84A0-EC82276FC4D3}" name="WorksheetConnection_beginner-DA-course-blank.xlsx!data" type="102" refreshedVersion="8" minRefreshableVersion="5">
    <extLst>
      <ext xmlns:x15="http://schemas.microsoft.com/office/spreadsheetml/2010/11/main" uri="{DE250136-89BD-433C-8126-D09CA5730AF9}">
        <x15:connection id="data" autoDelete="1">
          <x15:rangePr sourceName="_xlcn.WorksheetConnection_beginnerDAcourseblank.xlsxdata"/>
        </x15:connection>
      </ext>
    </extLst>
  </connection>
  <connection id="3" xr16:uid="{D25BF5A3-35BE-41AD-B465-2BC851448467}" name="WorksheetConnection_beginner-DA-course-blank.xlsx!products" type="102" refreshedVersion="8" minRefreshableVersion="5">
    <extLst>
      <ext xmlns:x15="http://schemas.microsoft.com/office/spreadsheetml/2010/11/main" uri="{DE250136-89BD-433C-8126-D09CA5730AF9}">
        <x15:connection id="products">
          <x15:rangePr sourceName="_xlcn.WorksheetConnection_beginnerDAcourseblank.xlsxproducts"/>
        </x15:connection>
      </ext>
    </extLst>
  </connection>
  <connection id="4" xr16:uid="{A79237F3-58EC-44DE-B916-19535350911D}" name="WorksheetConnection_beginner-DA-course-blank.xlsx!products8" type="102" refreshedVersion="8" minRefreshableVersion="5">
    <extLst>
      <ext xmlns:x15="http://schemas.microsoft.com/office/spreadsheetml/2010/11/main" uri="{DE250136-89BD-433C-8126-D09CA5730AF9}">
        <x15:connection id="products8">
          <x15:rangePr sourceName="_xlcn.WorksheetConnection_beginnerDAcourseblank.xlsxproducts8"/>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<sst xmlns="http://schemas.openxmlformats.org/spreadsheetml/2006/main" count="3491" uniqueCount="89">
  <si>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</si>
  <si>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</si>
  <si>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</si>
  <si>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</si>
  <si>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</si>
  <si>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</si>
  <si>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</si>
  <si>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</si>
  <si>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</si>
  <si>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</si>
  <si>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</si>
  <si>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</si>
  <si>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</si>
  <si>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</si>
  <si>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</si>
  <si>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</si>
  <si>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</si>
  <si>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</si>
  <si>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</si>
  <si>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</si>
  <si>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</si>
  <si>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</si>
  <si>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</si>
  <si>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</si>
  <si>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</si>
  <si>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</si>
  <si>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</si>
  <si>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</si>
  <si>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</si>
  <si>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</si>
  <si>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</si>
  <si>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</si>
  <si>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</si>
  <si>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</si>
  <si>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</si>
  <si>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</si>
  <si>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</si>
  <si>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</si>
  <si>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</si>
  <si>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</si>
  <si>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</si>
  <si>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</si>
  <si>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Questions</t>
  </si>
  <si>
    <t>Quick statistics</t>
  </si>
  <si>
    <t>Sales by country (with formulas)</t>
  </si>
  <si>
    <t>Sales by country (with pivots)</t>
  </si>
  <si>
    <t>Dynamic country-level Sales Report</t>
  </si>
  <si>
    <t>Which products to discontinue?</t>
  </si>
  <si>
    <t>Best Sales person by country</t>
  </si>
  <si>
    <t>Units</t>
  </si>
  <si>
    <t>Cost per unit</t>
  </si>
  <si>
    <t>Profits by product (using products table) - See column Y</t>
  </si>
  <si>
    <t>Exploratory Data Analysis (EDA) with CF</t>
  </si>
  <si>
    <t>Top 5 products by $ per unit</t>
  </si>
  <si>
    <t>Are there any anomalies in the data?</t>
  </si>
  <si>
    <r>
      <t xml:space="preserve">        </t>
    </r>
    <r>
      <rPr>
        <sz val="18"/>
        <color theme="1"/>
        <rFont val="Calibri"/>
        <family val="2"/>
        <scheme val="minor"/>
      </rPr>
      <t>1.QUICK STATISTICS</t>
    </r>
  </si>
  <si>
    <t>Column1</t>
  </si>
  <si>
    <t>Mean</t>
  </si>
  <si>
    <t>Unit</t>
  </si>
  <si>
    <t>Median</t>
  </si>
  <si>
    <t>Min</t>
  </si>
  <si>
    <t>Max</t>
  </si>
  <si>
    <t>Range</t>
  </si>
  <si>
    <t>Q1</t>
  </si>
  <si>
    <t>Q3</t>
  </si>
  <si>
    <t>Products list:</t>
  </si>
  <si>
    <t>n-products :</t>
  </si>
  <si>
    <t>Country</t>
  </si>
  <si>
    <t>Row Labels</t>
  </si>
  <si>
    <t>Sum of Amount</t>
  </si>
  <si>
    <t>Sum of Units</t>
  </si>
  <si>
    <t>Grand Total</t>
  </si>
  <si>
    <t>Sum of Amount2</t>
  </si>
  <si>
    <t>Sales per unit</t>
  </si>
  <si>
    <t>Column2</t>
  </si>
  <si>
    <t>Cost</t>
  </si>
  <si>
    <t>Profit</t>
  </si>
  <si>
    <t>Countries</t>
  </si>
  <si>
    <t>Quick Summary</t>
  </si>
  <si>
    <t>Sales</t>
  </si>
  <si>
    <t>Pick a country</t>
  </si>
  <si>
    <t>Number of transactions</t>
  </si>
  <si>
    <t>Total</t>
  </si>
  <si>
    <t>Average</t>
  </si>
  <si>
    <t>Quantity</t>
  </si>
  <si>
    <t>By Sales person</t>
  </si>
  <si>
    <t>✔/❌</t>
  </si>
  <si>
    <t>Profit %</t>
  </si>
  <si>
    <t>Sales Data Analysis using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</si>
</sst>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quot;$&quot;#,##0_);[Red]\(&quot;$&quot;#,##0\)"/>
    <numFmt numFmtId="165" formatCode="&quot;$&quot;#,##0.00_);[Red]\(&quot;$&quot;#,##0.00\)"/>
    <numFmt numFmtId="166" formatCode="&quot;₹&quot;\ #,##0"/>
    <numFmt numFmtId="167" formatCode="&quot;₹&quot;\ #,##0.00"/>
    <numFmt numFmtId="168" formatCode="_ [$₹-4009]\ * #,##0_ ;_ [$₹-4009]\ * \-#,##0_ ;_ [$₹-4009]\ * &quot;-&quot;??_ ;_ @_ "/>
    <numFmt numFmtId="169" formatCode="_-[$$-409]* #,##0_ ;_-[$$-409]* \-#,##0\ ;_-[$$-409]* &quot;-&quot;??_ ;_-@_ "/>
  </numFmts>
  <fonts count="9" x14ac:knownFonts="1">
    <font>
      <sz val="11"/>
      <color theme="1"/>
      <name val="Calibri"/>
      <family val="2"/>
      <scheme val="minor"/>
    </font>
    <font>
      <sz val="28"/>
      <color theme="1"/>
      <name val="Segoe UI Light"/>
      <family val="2"/>
    </font>
    <font>
      <b/>
      <sz val="11"/>
      <color theme="1"/>
      <name val="Calibri"/>
      <family val="2"/>
      <scheme val="minor"/>
    </font>
    <font>
      <sz val="18"/>
      <color theme="1"/>
      <name val="Calibri"/>
      <family val="2"/>
      <scheme val="minor"/>
    </font>
    <font>
      <sz val="11"/>
      <color theme="4" tint="0.3999755851924192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4" tint="0.79998168889431442"/>
        <bgColor indexed="64"/>
      </patternFill>
    </fill>
    <fill>
      <patternFill patternType="solid">
        <fgColor theme="7"/>
        <bgColor indexed="64"/>
      </patternFill>
    </fill>
    <fill>
      <patternFill patternType="solid">
        <fgColor theme="7" tint="0.59999389629810485"/>
        <bgColor indexed="64"/>
      </patternFill>
    </fill>
    <fill>
      <patternFill patternType="solid">
        <fgColor rgb="FFFFC000"/>
        <bgColor indexed="64"/>
      </patternFill>
    </fill>
    <fill>
      <patternFill patternType="solid">
        <fgColor theme="7" tint="0.39997558519241921"/>
        <bgColor indexed="64"/>
      </patternFill>
    </fill>
  </fills>
  <borders count="4">
    <border>
      <left/>
      <right/>
      <top/>
      <bottom/>
      <diagonal/>
    </border>
    <border>
      <left/>
      <right/>
      <top style="dotted">
        <color theme="0" tint="-0.24994659260841701"/>
      </top>
      <bottom style="dotted">
        <color theme="0" tint="-0.24994659260841701"/>
      </bottom>
      <diagonal/>
    </border>
    <border>
      <left/>
      <right/>
      <top style="thin">
        <color theme="0" tint="-0.24994659260841701"/>
      </top>
      <bottom style="thin">
        <color theme="0" tint="-0.24994659260841701"/>
      </bottom>
      <diagonal/>
    </border>
    <border>
      <left/>
      <right/>
      <top style="thin">
        <color indexed="64"/>
      </top>
      <bottom style="thin">
        <color indexed="64"/>
      </bottom>
      <diagonal/>
    </border>
  </borders>
  <cellStyleXfs count="2">
    <xf numFmtId="0" fontId="0" fillId="0" borderId="0"/>
    <xf numFmtId="44" fontId="5" fillId="0" borderId="0" applyFont="0" applyFill="0" applyBorder="0" applyAlignment="0" applyProtection="0"/>
  </cellStyleXfs>
  <cellXfs count="51">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64"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3" borderId="0" xfId="0" applyFont="1" applyFill="1"/>
    <xf numFmtId="0" fontId="2" fillId="0" borderId="0" xfId="0" applyFont="1" applyAlignment="1">
      <alignment horizontal="right"/>
    </xf>
    <xf numFmtId="165" fontId="0" fillId="0" borderId="0" xfId="0" applyNumberFormat="1"/>
    <xf numFmtId="0" fontId="2" fillId="0" borderId="0" xfId="0" applyFont="1" applyAlignment="1">
      <alignment horizontal="center" vertical="center"/>
    </xf>
    <xf numFmtId="166" fontId="0" fillId="0" borderId="0" xfId="0" applyNumberFormat="1"/>
    <xf numFmtId="0" fontId="2" fillId="4" borderId="0" xfId="0" applyFont="1" applyFill="1"/>
    <xf numFmtId="166" fontId="2" fillId="4" borderId="0" xfId="0" applyNumberFormat="1" applyFont="1" applyFill="1" applyAlignment="1">
      <alignment horizontal="right"/>
    </xf>
    <xf numFmtId="3" fontId="2" fillId="4" borderId="0" xfId="0" applyNumberFormat="1" applyFont="1" applyFill="1" applyAlignment="1">
      <alignment horizontal="right"/>
    </xf>
    <xf numFmtId="0" fontId="0" fillId="0" borderId="2" xfId="0" applyBorder="1"/>
    <xf numFmtId="166" fontId="0" fillId="0" borderId="2" xfId="0" applyNumberFormat="1" applyBorder="1"/>
    <xf numFmtId="3" fontId="4" fillId="0" borderId="2" xfId="0" applyNumberFormat="1" applyFont="1" applyBorder="1"/>
    <xf numFmtId="0" fontId="0" fillId="0" borderId="0" xfId="0" pivotButton="1"/>
    <xf numFmtId="0" fontId="0" fillId="0" borderId="0" xfId="0" applyAlignment="1">
      <alignment horizontal="left"/>
    </xf>
    <xf numFmtId="166" fontId="0" fillId="0" borderId="0" xfId="0" applyNumberFormat="1" applyAlignment="1">
      <alignment shrinkToFit="1"/>
    </xf>
    <xf numFmtId="3" fontId="2" fillId="0" borderId="0" xfId="0" applyNumberFormat="1" applyFont="1" applyAlignment="1">
      <alignment horizontal="right"/>
    </xf>
    <xf numFmtId="167" fontId="0" fillId="0" borderId="0" xfId="0" applyNumberFormat="1"/>
    <xf numFmtId="166" fontId="2" fillId="0" borderId="0" xfId="0" applyNumberFormat="1" applyFont="1" applyAlignment="1">
      <alignment horizontal="right"/>
    </xf>
    <xf numFmtId="0" fontId="0" fillId="0" borderId="0" xfId="0" applyAlignment="1">
      <alignment horizontal="left" indent="1"/>
    </xf>
    <xf numFmtId="44" fontId="0" fillId="0" borderId="0" xfId="0" applyNumberFormat="1"/>
    <xf numFmtId="165" fontId="2" fillId="0" borderId="0" xfId="0" applyNumberFormat="1" applyFont="1" applyAlignment="1">
      <alignment horizontal="right"/>
    </xf>
    <xf numFmtId="44" fontId="0" fillId="0" borderId="0" xfId="1" applyFont="1"/>
    <xf numFmtId="3" fontId="4" fillId="0" borderId="0" xfId="0" applyNumberFormat="1" applyFont="1"/>
    <xf numFmtId="166" fontId="0" fillId="5" borderId="0" xfId="0" applyNumberFormat="1" applyFill="1"/>
    <xf numFmtId="3" fontId="4" fillId="5" borderId="0" xfId="0" applyNumberFormat="1" applyFont="1" applyFill="1"/>
    <xf numFmtId="0" fontId="6" fillId="5" borderId="0" xfId="0" applyFont="1" applyFill="1"/>
    <xf numFmtId="0" fontId="7" fillId="0" borderId="0" xfId="0" applyFont="1"/>
    <xf numFmtId="166" fontId="6" fillId="0" borderId="0" xfId="0" applyNumberFormat="1" applyFont="1" applyAlignment="1">
      <alignment horizontal="left"/>
    </xf>
    <xf numFmtId="166" fontId="0" fillId="0" borderId="3" xfId="0" applyNumberFormat="1" applyBorder="1"/>
    <xf numFmtId="0" fontId="0" fillId="0" borderId="3" xfId="0" applyBorder="1"/>
    <xf numFmtId="3" fontId="8" fillId="0" borderId="3" xfId="0" applyNumberFormat="1" applyFont="1" applyBorder="1"/>
    <xf numFmtId="0" fontId="0" fillId="6" borderId="0" xfId="0" applyFill="1"/>
    <xf numFmtId="166" fontId="2" fillId="6" borderId="0" xfId="0" applyNumberFormat="1" applyFont="1" applyFill="1" applyAlignment="1">
      <alignment horizontal="left" vertical="top" indent="3"/>
    </xf>
    <xf numFmtId="0" fontId="0" fillId="0" borderId="0" xfId="0" applyAlignment="1">
      <alignment horizontal="center"/>
    </xf>
    <xf numFmtId="0" fontId="0" fillId="7" borderId="0" xfId="0" applyFill="1"/>
    <xf numFmtId="0" fontId="2" fillId="7" borderId="0" xfId="0" applyFont="1" applyFill="1"/>
    <xf numFmtId="0" fontId="0" fillId="8" borderId="0" xfId="0" applyFill="1"/>
    <xf numFmtId="0" fontId="2" fillId="8" borderId="0" xfId="0" applyFont="1" applyFill="1"/>
    <xf numFmtId="0" fontId="0" fillId="8" borderId="0" xfId="0" applyFill="1" applyAlignment="1">
      <alignment horizontal="center"/>
    </xf>
    <xf numFmtId="168" fontId="0" fillId="0" borderId="0" xfId="0" applyNumberFormat="1"/>
    <xf numFmtId="169" fontId="0" fillId="0" borderId="0" xfId="0" applyNumberFormat="1"/>
    <xf numFmtId="9" fontId="0" fillId="0" borderId="0" xfId="0" pivotButton="1" applyNumberFormat="1"/>
    <xf numFmtId="9" fontId="0" fillId="0" borderId="0" xfId="0" applyNumberFormat="1" applyAlignment="1">
      <alignment horizontal="center" vertical="center"/>
    </xf>
  </cellXfs>
  <cellStyles count="2">
    <cellStyle name="Currency" xfId="1" builtinId="4"/>
    <cellStyle name="Normal" xfId="0" builtinId="0"/>
  </cellStyles>
  <dxfs count="28">
    <dxf>
      <font>
        <color rgb="FF9C0006"/>
      </font>
      <fill>
        <patternFill>
          <bgColor rgb="FFFFC7CE"/>
        </patternFill>
      </fill>
    </dxf>
    <dxf>
      <alignment horizontal="center"/>
    </dxf>
    <dxf>
      <alignment vertical="center"/>
    </dxf>
    <dxf>
      <numFmt numFmtId="13" formatCode="0%"/>
    </dxf>
    <dxf>
      <numFmt numFmtId="13" formatCode="0%"/>
    </dxf>
    <dxf>
      <numFmt numFmtId="169" formatCode="_-[$$-409]* #,##0_ ;_-[$$-409]* \-#,##0\ ;_-[$$-409]* &quot;-&quot;??_ ;_-@_ "/>
    </dxf>
    <dxf>
      <numFmt numFmtId="169" formatCode="_-[$$-409]* #,##0_ ;_-[$$-409]* \-#,##0\ ;_-[$$-409]* &quot;-&quot;??_ ;_-@_ "/>
    </dxf>
    <dxf>
      <numFmt numFmtId="34" formatCode="_ &quot;₹&quot;\ * #,##0.00_ ;_ &quot;₹&quot;\ * \-#,##0.00_ ;_ &quot;₹&quot;\ * &quot;-&quot;??_ ;_ @_ "/>
    </dxf>
    <dxf>
      <numFmt numFmtId="34" formatCode="_ &quot;₹&quot;\ * #,##0.00_ ;_ &quot;₹&quot;\ * \-#,##0.00_ ;_ &quot;₹&quot;\ * &quot;-&quot;??_ ;_ @_ "/>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7" formatCode="&quot;₹&quot;\ #,##0.00"/>
    </dxf>
    <dxf>
      <numFmt numFmtId="167" formatCode="&quot;₹&quot;\ #,##0.00"/>
    </dxf>
    <dxf>
      <numFmt numFmtId="3" formatCode="#,##0"/>
    </dxf>
    <dxf>
      <numFmt numFmtId="164" formatCode="&quot;$&quot;#,##0_);[Red]\(&quot;$&quot;#,##0\)"/>
    </dxf>
    <dxf>
      <fill>
        <patternFill patternType="solid">
          <fgColor auto="1"/>
          <bgColor indexed="65"/>
        </patternFill>
      </fill>
    </dxf>
    <dxf>
      <font>
        <b/>
        <i val="0"/>
        <strike val="0"/>
        <condense val="0"/>
        <extend val="0"/>
        <outline val="0"/>
        <shadow val="0"/>
        <u val="none"/>
        <vertAlign val="baseline"/>
        <sz val="11"/>
        <color theme="1"/>
        <name val="Calibri"/>
        <family val="2"/>
        <scheme val="minor"/>
      </font>
    </dxf>
    <dxf>
      <numFmt numFmtId="164" formatCode="&quot;$&quot;#,##0_);[Red]\(&quot;$&quot;#,##0\)"/>
    </dxf>
    <dxf>
      <numFmt numFmtId="0" formatCode="General"/>
    </dxf>
    <dxf>
      <numFmt numFmtId="0" formatCode="General"/>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5" formatCode="&quot;$&quot;#,##0.00_);[Red]\(&quot;$&quot;#,##0.00\)"/>
    </dxf>
  </dxfs>
  <tableStyles count="0" defaultTableStyle="TableStyleMedium2" defaultPivotStyle="PivotStyleLight16"/>
  <colors>
    <mruColors>
      <color rgb="FF6D31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5.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3.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Amounts VS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'6'!$X$2:$X$6</c:f>
              <c:strCache>
                <c:ptCount val="5"/>
              </c:strCache>
            </c:strRef>
          </c:tx>
          <c:spPr>
            <a:ln w="19050" cap="rnd">
              <a:noFill/>
              <a:round/>
            </a:ln>
            <a:effectLst/>
          </c:spPr>
          <c:marker>
            <c:symbol val="circle"/>
            <c:size val="5"/>
            <c:spPr>
              <a:solidFill>
                <a:schemeClr val="accent1"/>
              </a:solidFill>
              <a:ln w="9525">
                <a:solidFill>
                  <a:schemeClr val="accent1"/>
                </a:solidFill>
              </a:ln>
              <a:effectLst/>
            </c:spPr>
          </c:marker>
          <c:xVal>
            <c:strRef>
              <c:f>'6'!$W$7:$W$307</c:f>
              <c:strCache>
                <c:ptCount val="301"/>
                <c:pt idx="0">
                  <c:v>Amount</c:v>
                </c:pt>
                <c:pt idx="1">
                  <c:v>$16,184 </c:v>
                </c:pt>
                <c:pt idx="2">
                  <c:v>$15,610 </c:v>
                </c:pt>
                <c:pt idx="3">
                  <c:v>$14,329 </c:v>
                </c:pt>
                <c:pt idx="4">
                  <c:v>$13,391 </c:v>
                </c:pt>
                <c:pt idx="5">
                  <c:v>$12,950 </c:v>
                </c:pt>
                <c:pt idx="6">
                  <c:v>$12,348 </c:v>
                </c:pt>
                <c:pt idx="7">
                  <c:v>$11,571 </c:v>
                </c:pt>
                <c:pt idx="8">
                  <c:v>$11,522 </c:v>
                </c:pt>
                <c:pt idx="9">
                  <c:v>$11,417 </c:v>
                </c:pt>
                <c:pt idx="10">
                  <c:v>$10,311 </c:v>
                </c:pt>
                <c:pt idx="11">
                  <c:v>$10,304 </c:v>
                </c:pt>
                <c:pt idx="12">
                  <c:v>$10,129 </c:v>
                </c:pt>
                <c:pt idx="13">
                  <c:v>$10,073 </c:v>
                </c:pt>
                <c:pt idx="14">
                  <c:v>$9,926 </c:v>
                </c:pt>
                <c:pt idx="15">
                  <c:v>$9,835 </c:v>
                </c:pt>
                <c:pt idx="16">
                  <c:v>$9,772 </c:v>
                </c:pt>
                <c:pt idx="17">
                  <c:v>$9,709 </c:v>
                </c:pt>
                <c:pt idx="18">
                  <c:v>$9,660 </c:v>
                </c:pt>
                <c:pt idx="19">
                  <c:v>$9,632 </c:v>
                </c:pt>
                <c:pt idx="20">
                  <c:v>$9,506 </c:v>
                </c:pt>
                <c:pt idx="21">
                  <c:v>$9,443 </c:v>
                </c:pt>
                <c:pt idx="22">
                  <c:v>$9,198 </c:v>
                </c:pt>
                <c:pt idx="23">
                  <c:v>$9,051 </c:v>
                </c:pt>
                <c:pt idx="24">
                  <c:v>$9,002 </c:v>
                </c:pt>
                <c:pt idx="25">
                  <c:v>$8,890 </c:v>
                </c:pt>
                <c:pt idx="26">
                  <c:v>$8,869 </c:v>
                </c:pt>
                <c:pt idx="27">
                  <c:v>$8,862 </c:v>
                </c:pt>
                <c:pt idx="28">
                  <c:v>$8,841 </c:v>
                </c:pt>
                <c:pt idx="29">
                  <c:v>$8,813 </c:v>
                </c:pt>
                <c:pt idx="30">
                  <c:v>$8,463 </c:v>
                </c:pt>
                <c:pt idx="31">
                  <c:v>$8,435 </c:v>
                </c:pt>
                <c:pt idx="32">
                  <c:v>$8,211 </c:v>
                </c:pt>
                <c:pt idx="33">
                  <c:v>$8,155 </c:v>
                </c:pt>
                <c:pt idx="34">
                  <c:v>$8,008 </c:v>
                </c:pt>
                <c:pt idx="35">
                  <c:v>$7,847 </c:v>
                </c:pt>
                <c:pt idx="36">
                  <c:v>$7,833 </c:v>
                </c:pt>
                <c:pt idx="37">
                  <c:v>$7,812 </c:v>
                </c:pt>
                <c:pt idx="38">
                  <c:v>$7,777 </c:v>
                </c:pt>
                <c:pt idx="39">
                  <c:v>$7,777 </c:v>
                </c:pt>
                <c:pt idx="40">
                  <c:v>$7,693 </c:v>
                </c:pt>
                <c:pt idx="41">
                  <c:v>$7,693 </c:v>
                </c:pt>
                <c:pt idx="42">
                  <c:v>$7,651 </c:v>
                </c:pt>
                <c:pt idx="43">
                  <c:v>$7,511 </c:v>
                </c:pt>
                <c:pt idx="44">
                  <c:v>$7,483 </c:v>
                </c:pt>
                <c:pt idx="45">
                  <c:v>$7,455 </c:v>
                </c:pt>
                <c:pt idx="46">
                  <c:v>$7,322 </c:v>
                </c:pt>
                <c:pt idx="47">
                  <c:v>$7,308 </c:v>
                </c:pt>
                <c:pt idx="48">
                  <c:v>$7,280 </c:v>
                </c:pt>
                <c:pt idx="49">
                  <c:v>$7,273 </c:v>
                </c:pt>
                <c:pt idx="50">
                  <c:v>$7,259 </c:v>
                </c:pt>
                <c:pt idx="51">
                  <c:v>$7,189 </c:v>
                </c:pt>
                <c:pt idx="52">
                  <c:v>$7,021 </c:v>
                </c:pt>
                <c:pt idx="53">
                  <c:v>$6,986 </c:v>
                </c:pt>
                <c:pt idx="54">
                  <c:v>$6,909 </c:v>
                </c:pt>
                <c:pt idx="55">
                  <c:v>$6,860 </c:v>
                </c:pt>
                <c:pt idx="56">
                  <c:v>$6,853 </c:v>
                </c:pt>
                <c:pt idx="57">
                  <c:v>$6,832 </c:v>
                </c:pt>
                <c:pt idx="58">
                  <c:v>$6,818 </c:v>
                </c:pt>
                <c:pt idx="59">
                  <c:v>$6,755 </c:v>
                </c:pt>
                <c:pt idx="60">
                  <c:v>$6,748 </c:v>
                </c:pt>
                <c:pt idx="61">
                  <c:v>$6,734 </c:v>
                </c:pt>
                <c:pt idx="62">
                  <c:v>$6,706 </c:v>
                </c:pt>
                <c:pt idx="63">
                  <c:v>$6,657 </c:v>
                </c:pt>
                <c:pt idx="64">
                  <c:v>$6,657 </c:v>
                </c:pt>
                <c:pt idx="65">
                  <c:v>$6,608 </c:v>
                </c:pt>
                <c:pt idx="66">
                  <c:v>$6,580 </c:v>
                </c:pt>
                <c:pt idx="67">
                  <c:v>$6,454 </c:v>
                </c:pt>
                <c:pt idx="68">
                  <c:v>$6,433 </c:v>
                </c:pt>
                <c:pt idx="69">
                  <c:v>$6,398 </c:v>
                </c:pt>
                <c:pt idx="70">
                  <c:v>$6,391 </c:v>
                </c:pt>
                <c:pt idx="71">
                  <c:v>$6,370 </c:v>
                </c:pt>
                <c:pt idx="72">
                  <c:v>$6,314 </c:v>
                </c:pt>
                <c:pt idx="73">
                  <c:v>$6,300 </c:v>
                </c:pt>
                <c:pt idx="74">
                  <c:v>$6,279 </c:v>
                </c:pt>
                <c:pt idx="75">
                  <c:v>$6,279 </c:v>
                </c:pt>
                <c:pt idx="76">
                  <c:v>$6,146 </c:v>
                </c:pt>
                <c:pt idx="77">
                  <c:v>$6,132 </c:v>
                </c:pt>
                <c:pt idx="78">
                  <c:v>$6,125 </c:v>
                </c:pt>
                <c:pt idx="79">
                  <c:v>$6,118 </c:v>
                </c:pt>
                <c:pt idx="80">
                  <c:v>$6,118 </c:v>
                </c:pt>
                <c:pt idx="81">
                  <c:v>$6,111 </c:v>
                </c:pt>
                <c:pt idx="82">
                  <c:v>$6,048 </c:v>
                </c:pt>
                <c:pt idx="83">
                  <c:v>$6,027 </c:v>
                </c:pt>
                <c:pt idx="84">
                  <c:v>$5,915 </c:v>
                </c:pt>
                <c:pt idx="85">
                  <c:v>$5,817 </c:v>
                </c:pt>
                <c:pt idx="86">
                  <c:v>$5,775 </c:v>
                </c:pt>
                <c:pt idx="87">
                  <c:v>$5,677 </c:v>
                </c:pt>
                <c:pt idx="88">
                  <c:v>$5,670 </c:v>
                </c:pt>
                <c:pt idx="89">
                  <c:v>$5,586 </c:v>
                </c:pt>
                <c:pt idx="90">
                  <c:v>$5,551 </c:v>
                </c:pt>
                <c:pt idx="91">
                  <c:v>$5,474 </c:v>
                </c:pt>
                <c:pt idx="92">
                  <c:v>$5,439 </c:v>
                </c:pt>
                <c:pt idx="93">
                  <c:v>$5,355 </c:v>
                </c:pt>
                <c:pt idx="94">
                  <c:v>$5,306 </c:v>
                </c:pt>
                <c:pt idx="95">
                  <c:v>$5,236 </c:v>
                </c:pt>
                <c:pt idx="96">
                  <c:v>$5,194 </c:v>
                </c:pt>
                <c:pt idx="97">
                  <c:v>$5,075 </c:v>
                </c:pt>
                <c:pt idx="98">
                  <c:v>$5,019 </c:v>
                </c:pt>
                <c:pt idx="99">
                  <c:v>$5,019 </c:v>
                </c:pt>
                <c:pt idx="100">
                  <c:v>$5,012 </c:v>
                </c:pt>
                <c:pt idx="101">
                  <c:v>$4,991 </c:v>
                </c:pt>
                <c:pt idx="102">
                  <c:v>$4,991 </c:v>
                </c:pt>
                <c:pt idx="103">
                  <c:v>$4,970 </c:v>
                </c:pt>
                <c:pt idx="104">
                  <c:v>$4,956 </c:v>
                </c:pt>
                <c:pt idx="105">
                  <c:v>$4,949 </c:v>
                </c:pt>
                <c:pt idx="106">
                  <c:v>$4,935 </c:v>
                </c:pt>
                <c:pt idx="107">
                  <c:v>$4,858 </c:v>
                </c:pt>
                <c:pt idx="108">
                  <c:v>$4,802 </c:v>
                </c:pt>
                <c:pt idx="109">
                  <c:v>$4,781 </c:v>
                </c:pt>
                <c:pt idx="110">
                  <c:v>$4,760 </c:v>
                </c:pt>
                <c:pt idx="111">
                  <c:v>$4,753 </c:v>
                </c:pt>
                <c:pt idx="112">
                  <c:v>$4,753 </c:v>
                </c:pt>
                <c:pt idx="113">
                  <c:v>$4,725 </c:v>
                </c:pt>
                <c:pt idx="114">
                  <c:v>$4,683 </c:v>
                </c:pt>
                <c:pt idx="115">
                  <c:v>$4,606 </c:v>
                </c:pt>
                <c:pt idx="116">
                  <c:v>$4,592 </c:v>
                </c:pt>
                <c:pt idx="117">
                  <c:v>$4,585 </c:v>
                </c:pt>
                <c:pt idx="118">
                  <c:v>$4,487 </c:v>
                </c:pt>
                <c:pt idx="119">
                  <c:v>$4,487 </c:v>
                </c:pt>
                <c:pt idx="120">
                  <c:v>$4,480 </c:v>
                </c:pt>
                <c:pt idx="121">
                  <c:v>$4,438 </c:v>
                </c:pt>
                <c:pt idx="122">
                  <c:v>$4,424 </c:v>
                </c:pt>
                <c:pt idx="123">
                  <c:v>$4,417 </c:v>
                </c:pt>
                <c:pt idx="124">
                  <c:v>$4,326 </c:v>
                </c:pt>
                <c:pt idx="125">
                  <c:v>$4,319 </c:v>
                </c:pt>
                <c:pt idx="126">
                  <c:v>$4,305 </c:v>
                </c:pt>
                <c:pt idx="127">
                  <c:v>$4,242 </c:v>
                </c:pt>
                <c:pt idx="128">
                  <c:v>$4,137 </c:v>
                </c:pt>
                <c:pt idx="129">
                  <c:v>$4,053 </c:v>
                </c:pt>
                <c:pt idx="130">
                  <c:v>$4,018 </c:v>
                </c:pt>
                <c:pt idx="131">
                  <c:v>$4,018 </c:v>
                </c:pt>
                <c:pt idx="132">
                  <c:v>$4,018 </c:v>
                </c:pt>
                <c:pt idx="133">
                  <c:v>$3,983 </c:v>
                </c:pt>
                <c:pt idx="134">
                  <c:v>$3,976 </c:v>
                </c:pt>
                <c:pt idx="135">
                  <c:v>$3,920 </c:v>
                </c:pt>
                <c:pt idx="136">
                  <c:v>$3,864 </c:v>
                </c:pt>
                <c:pt idx="137">
                  <c:v>$3,850 </c:v>
                </c:pt>
                <c:pt idx="138">
                  <c:v>$3,829 </c:v>
                </c:pt>
                <c:pt idx="139">
                  <c:v>$3,808 </c:v>
                </c:pt>
                <c:pt idx="140">
                  <c:v>$3,794 </c:v>
                </c:pt>
                <c:pt idx="141">
                  <c:v>$3,773 </c:v>
                </c:pt>
                <c:pt idx="142">
                  <c:v>$3,759 </c:v>
                </c:pt>
                <c:pt idx="143">
                  <c:v>$3,752 </c:v>
                </c:pt>
                <c:pt idx="144">
                  <c:v>$3,689 </c:v>
                </c:pt>
                <c:pt idx="145">
                  <c:v>$3,640 </c:v>
                </c:pt>
                <c:pt idx="146">
                  <c:v>$3,598 </c:v>
                </c:pt>
                <c:pt idx="147">
                  <c:v>$3,556 </c:v>
                </c:pt>
                <c:pt idx="148">
                  <c:v>$3,549 </c:v>
                </c:pt>
                <c:pt idx="149">
                  <c:v>$3,507 </c:v>
                </c:pt>
                <c:pt idx="150">
                  <c:v>$3,472 </c:v>
                </c:pt>
                <c:pt idx="151">
                  <c:v>$3,402 </c:v>
                </c:pt>
                <c:pt idx="152">
                  <c:v>$3,388 </c:v>
                </c:pt>
                <c:pt idx="153">
                  <c:v>$3,339 </c:v>
                </c:pt>
                <c:pt idx="154">
                  <c:v>$3,339 </c:v>
                </c:pt>
                <c:pt idx="155">
                  <c:v>$3,339 </c:v>
                </c:pt>
                <c:pt idx="156">
                  <c:v>$3,262 </c:v>
                </c:pt>
                <c:pt idx="157">
                  <c:v>$3,192 </c:v>
                </c:pt>
                <c:pt idx="158">
                  <c:v>$3,164 </c:v>
                </c:pt>
                <c:pt idx="159">
                  <c:v>$3,108 </c:v>
                </c:pt>
                <c:pt idx="160">
                  <c:v>$3,101 </c:v>
                </c:pt>
                <c:pt idx="161">
                  <c:v>$3,094 </c:v>
                </c:pt>
                <c:pt idx="162">
                  <c:v>$3,059 </c:v>
                </c:pt>
                <c:pt idx="163">
                  <c:v>$3,052 </c:v>
                </c:pt>
                <c:pt idx="164">
                  <c:v>$2,989 </c:v>
                </c:pt>
                <c:pt idx="165">
                  <c:v>$2,954 </c:v>
                </c:pt>
                <c:pt idx="166">
                  <c:v>$2,933 </c:v>
                </c:pt>
                <c:pt idx="167">
                  <c:v>$2,919 </c:v>
                </c:pt>
                <c:pt idx="168">
                  <c:v>$2,919 </c:v>
                </c:pt>
                <c:pt idx="169">
                  <c:v>$2,891 </c:v>
                </c:pt>
                <c:pt idx="170">
                  <c:v>$2,870 </c:v>
                </c:pt>
                <c:pt idx="171">
                  <c:v>$2,863 </c:v>
                </c:pt>
                <c:pt idx="172">
                  <c:v>$2,856 </c:v>
                </c:pt>
                <c:pt idx="173">
                  <c:v>$2,793 </c:v>
                </c:pt>
                <c:pt idx="174">
                  <c:v>$2,779 </c:v>
                </c:pt>
                <c:pt idx="175">
                  <c:v>$2,744 </c:v>
                </c:pt>
                <c:pt idx="176">
                  <c:v>$2,737 </c:v>
                </c:pt>
                <c:pt idx="177">
                  <c:v>$2,702 </c:v>
                </c:pt>
                <c:pt idx="178">
                  <c:v>$2,681 </c:v>
                </c:pt>
                <c:pt idx="179">
                  <c:v>$2,646 </c:v>
                </c:pt>
                <c:pt idx="180">
                  <c:v>$2,646 </c:v>
                </c:pt>
                <c:pt idx="181">
                  <c:v>$2,639 </c:v>
                </c:pt>
                <c:pt idx="182">
                  <c:v>$2,583 </c:v>
                </c:pt>
                <c:pt idx="183">
                  <c:v>$2,562 </c:v>
                </c:pt>
                <c:pt idx="184">
                  <c:v>$2,541 </c:v>
                </c:pt>
                <c:pt idx="185">
                  <c:v>$2,541 </c:v>
                </c:pt>
                <c:pt idx="186">
                  <c:v>$2,478 </c:v>
                </c:pt>
                <c:pt idx="187">
                  <c:v>$2,471 </c:v>
                </c:pt>
                <c:pt idx="188">
                  <c:v>$2,464 </c:v>
                </c:pt>
                <c:pt idx="189">
                  <c:v>$2,436 </c:v>
                </c:pt>
                <c:pt idx="190">
                  <c:v>$2,429 </c:v>
                </c:pt>
                <c:pt idx="191">
                  <c:v>$2,415 </c:v>
                </c:pt>
                <c:pt idx="192">
                  <c:v>$2,415 </c:v>
                </c:pt>
                <c:pt idx="193">
                  <c:v>$2,408 </c:v>
                </c:pt>
                <c:pt idx="194">
                  <c:v>$2,324 </c:v>
                </c:pt>
                <c:pt idx="195">
                  <c:v>$2,317 </c:v>
                </c:pt>
                <c:pt idx="196">
                  <c:v>$2,317 </c:v>
                </c:pt>
                <c:pt idx="197">
                  <c:v>$2,289 </c:v>
                </c:pt>
                <c:pt idx="198">
                  <c:v>$2,275 </c:v>
                </c:pt>
                <c:pt idx="199">
                  <c:v>$2,268 </c:v>
                </c:pt>
                <c:pt idx="200">
                  <c:v>$2,226 </c:v>
                </c:pt>
                <c:pt idx="201">
                  <c:v>$2,219 </c:v>
                </c:pt>
                <c:pt idx="202">
                  <c:v>$2,212 </c:v>
                </c:pt>
                <c:pt idx="203">
                  <c:v>$2,205 </c:v>
                </c:pt>
                <c:pt idx="204">
                  <c:v>$2,205 </c:v>
                </c:pt>
                <c:pt idx="205">
                  <c:v>$2,149 </c:v>
                </c:pt>
                <c:pt idx="206">
                  <c:v>$2,142 </c:v>
                </c:pt>
                <c:pt idx="207">
                  <c:v>$2,135 </c:v>
                </c:pt>
                <c:pt idx="208">
                  <c:v>$2,114 </c:v>
                </c:pt>
                <c:pt idx="209">
                  <c:v>$2,114 </c:v>
                </c:pt>
                <c:pt idx="210">
                  <c:v>$2,100 </c:v>
                </c:pt>
                <c:pt idx="211">
                  <c:v>$2,023 </c:v>
                </c:pt>
                <c:pt idx="212">
                  <c:v>$2,023 </c:v>
                </c:pt>
                <c:pt idx="213">
                  <c:v>$2,016 </c:v>
                </c:pt>
                <c:pt idx="214">
                  <c:v>$2,009 </c:v>
                </c:pt>
                <c:pt idx="215">
                  <c:v>$1,988 </c:v>
                </c:pt>
                <c:pt idx="216">
                  <c:v>$1,974 </c:v>
                </c:pt>
                <c:pt idx="217">
                  <c:v>$1,932 </c:v>
                </c:pt>
                <c:pt idx="218">
                  <c:v>$1,925 </c:v>
                </c:pt>
                <c:pt idx="219">
                  <c:v>$1,904 </c:v>
                </c:pt>
                <c:pt idx="220">
                  <c:v>$1,890 </c:v>
                </c:pt>
                <c:pt idx="221">
                  <c:v>$1,785 </c:v>
                </c:pt>
                <c:pt idx="222">
                  <c:v>$1,778 </c:v>
                </c:pt>
                <c:pt idx="223">
                  <c:v>$1,771 </c:v>
                </c:pt>
                <c:pt idx="224">
                  <c:v>$1,701 </c:v>
                </c:pt>
                <c:pt idx="225">
                  <c:v>$1,652 </c:v>
                </c:pt>
                <c:pt idx="226">
                  <c:v>$1,652 </c:v>
                </c:pt>
                <c:pt idx="227">
                  <c:v>$1,638 </c:v>
                </c:pt>
                <c:pt idx="228">
                  <c:v>$1,638 </c:v>
                </c:pt>
                <c:pt idx="229">
                  <c:v>$1,624 </c:v>
                </c:pt>
                <c:pt idx="230">
                  <c:v>$1,617 </c:v>
                </c:pt>
                <c:pt idx="231">
                  <c:v>$1,589 </c:v>
                </c:pt>
                <c:pt idx="232">
                  <c:v>$1,568 </c:v>
                </c:pt>
                <c:pt idx="233">
                  <c:v>$1,568 </c:v>
                </c:pt>
                <c:pt idx="234">
                  <c:v>$1,561 </c:v>
                </c:pt>
                <c:pt idx="235">
                  <c:v>$1,526 </c:v>
                </c:pt>
                <c:pt idx="236">
                  <c:v>$1,526 </c:v>
                </c:pt>
                <c:pt idx="237">
                  <c:v>$1,505 </c:v>
                </c:pt>
                <c:pt idx="238">
                  <c:v>$1,463 </c:v>
                </c:pt>
                <c:pt idx="239">
                  <c:v>$1,442 </c:v>
                </c:pt>
                <c:pt idx="240">
                  <c:v>$1,428 </c:v>
                </c:pt>
                <c:pt idx="241">
                  <c:v>$1,407 </c:v>
                </c:pt>
                <c:pt idx="242">
                  <c:v>$1,400 </c:v>
                </c:pt>
                <c:pt idx="243">
                  <c:v>$1,302 </c:v>
                </c:pt>
                <c:pt idx="244">
                  <c:v>$1,281 </c:v>
                </c:pt>
                <c:pt idx="245">
                  <c:v>$1,281 </c:v>
                </c:pt>
                <c:pt idx="246">
                  <c:v>$1,274 </c:v>
                </c:pt>
                <c:pt idx="247">
                  <c:v>$1,134 </c:v>
                </c:pt>
                <c:pt idx="248">
                  <c:v>$1,085 </c:v>
                </c:pt>
                <c:pt idx="249">
                  <c:v>$1,071 </c:v>
                </c:pt>
                <c:pt idx="250">
                  <c:v>$1,057 </c:v>
                </c:pt>
                <c:pt idx="251">
                  <c:v>$973 </c:v>
                </c:pt>
                <c:pt idx="252">
                  <c:v>$966 </c:v>
                </c:pt>
                <c:pt idx="253">
                  <c:v>$959 </c:v>
                </c:pt>
                <c:pt idx="254">
                  <c:v>$959 </c:v>
                </c:pt>
                <c:pt idx="255">
                  <c:v>$945 </c:v>
                </c:pt>
                <c:pt idx="256">
                  <c:v>$938 </c:v>
                </c:pt>
                <c:pt idx="257">
                  <c:v>$938 </c:v>
                </c:pt>
                <c:pt idx="258">
                  <c:v>$938 </c:v>
                </c:pt>
                <c:pt idx="259">
                  <c:v>$861 </c:v>
                </c:pt>
                <c:pt idx="260">
                  <c:v>$854 </c:v>
                </c:pt>
                <c:pt idx="261">
                  <c:v>$847 </c:v>
                </c:pt>
                <c:pt idx="262">
                  <c:v>$819 </c:v>
                </c:pt>
                <c:pt idx="263">
                  <c:v>$819 </c:v>
                </c:pt>
                <c:pt idx="264">
                  <c:v>$798 </c:v>
                </c:pt>
                <c:pt idx="265">
                  <c:v>$714 </c:v>
                </c:pt>
                <c:pt idx="266">
                  <c:v>$707 </c:v>
                </c:pt>
                <c:pt idx="267">
                  <c:v>$700 </c:v>
                </c:pt>
                <c:pt idx="268">
                  <c:v>$630 </c:v>
                </c:pt>
                <c:pt idx="269">
                  <c:v>$623 </c:v>
                </c:pt>
                <c:pt idx="270">
                  <c:v>$609 </c:v>
                </c:pt>
                <c:pt idx="271">
                  <c:v>$609 </c:v>
                </c:pt>
                <c:pt idx="272">
                  <c:v>$567 </c:v>
                </c:pt>
                <c:pt idx="273">
                  <c:v>$560 </c:v>
                </c:pt>
                <c:pt idx="274">
                  <c:v>$553 </c:v>
                </c:pt>
                <c:pt idx="275">
                  <c:v>$525 </c:v>
                </c:pt>
                <c:pt idx="276">
                  <c:v>$518 </c:v>
                </c:pt>
                <c:pt idx="277">
                  <c:v>$497 </c:v>
                </c:pt>
                <c:pt idx="278">
                  <c:v>$490 </c:v>
                </c:pt>
                <c:pt idx="279">
                  <c:v>$469 </c:v>
                </c:pt>
                <c:pt idx="280">
                  <c:v>$434 </c:v>
                </c:pt>
                <c:pt idx="281">
                  <c:v>$385 </c:v>
                </c:pt>
                <c:pt idx="282">
                  <c:v>$357 </c:v>
                </c:pt>
                <c:pt idx="283">
                  <c:v>$336 </c:v>
                </c:pt>
                <c:pt idx="284">
                  <c:v>$280 </c:v>
                </c:pt>
                <c:pt idx="285">
                  <c:v>$259 </c:v>
                </c:pt>
                <c:pt idx="286">
                  <c:v>$252 </c:v>
                </c:pt>
                <c:pt idx="287">
                  <c:v>$245 </c:v>
                </c:pt>
                <c:pt idx="288">
                  <c:v>$238 </c:v>
                </c:pt>
                <c:pt idx="289">
                  <c:v>$217 </c:v>
                </c:pt>
                <c:pt idx="290">
                  <c:v>$189 </c:v>
                </c:pt>
                <c:pt idx="291">
                  <c:v>$182 </c:v>
                </c:pt>
                <c:pt idx="292">
                  <c:v>$168 </c:v>
                </c:pt>
                <c:pt idx="293">
                  <c:v>$154 </c:v>
                </c:pt>
                <c:pt idx="294">
                  <c:v>$98 </c:v>
                </c:pt>
                <c:pt idx="295">
                  <c:v>$98 </c:v>
                </c:pt>
                <c:pt idx="296">
                  <c:v>$63 </c:v>
                </c:pt>
                <c:pt idx="297">
                  <c:v>$56 </c:v>
                </c:pt>
                <c:pt idx="298">
                  <c:v>$42 </c:v>
                </c:pt>
                <c:pt idx="299">
                  <c:v>$21 </c:v>
                </c:pt>
                <c:pt idx="300">
                  <c:v>$0 </c:v>
                </c:pt>
              </c:strCache>
            </c:strRef>
          </c:xVal>
          <c:yVal>
            <c:numRef>
              <c:f>'6'!$X$7:$X$307</c:f>
              <c:numCache>
                <c:formatCode>#,##0</c:formatCode>
                <c:ptCount val="301"/>
                <c:pt idx="0" formatCode="General">
                  <c:v>0</c:v>
                </c:pt>
                <c:pt idx="1">
                  <c:v>39</c:v>
                </c:pt>
                <c:pt idx="2">
                  <c:v>339</c:v>
                </c:pt>
                <c:pt idx="3">
                  <c:v>150</c:v>
                </c:pt>
                <c:pt idx="4">
                  <c:v>201</c:v>
                </c:pt>
                <c:pt idx="5">
                  <c:v>30</c:v>
                </c:pt>
                <c:pt idx="6">
                  <c:v>234</c:v>
                </c:pt>
                <c:pt idx="7">
                  <c:v>138</c:v>
                </c:pt>
                <c:pt idx="8">
                  <c:v>204</c:v>
                </c:pt>
                <c:pt idx="9">
                  <c:v>21</c:v>
                </c:pt>
                <c:pt idx="10">
                  <c:v>231</c:v>
                </c:pt>
                <c:pt idx="11">
                  <c:v>84</c:v>
                </c:pt>
                <c:pt idx="12">
                  <c:v>312</c:v>
                </c:pt>
                <c:pt idx="13">
                  <c:v>120</c:v>
                </c:pt>
                <c:pt idx="14">
                  <c:v>201</c:v>
                </c:pt>
                <c:pt idx="15">
                  <c:v>207</c:v>
                </c:pt>
                <c:pt idx="16">
                  <c:v>90</c:v>
                </c:pt>
                <c:pt idx="17">
                  <c:v>30</c:v>
                </c:pt>
                <c:pt idx="18">
                  <c:v>27</c:v>
                </c:pt>
                <c:pt idx="19">
                  <c:v>288</c:v>
                </c:pt>
                <c:pt idx="20">
                  <c:v>87</c:v>
                </c:pt>
                <c:pt idx="21">
                  <c:v>162</c:v>
                </c:pt>
                <c:pt idx="22">
                  <c:v>36</c:v>
                </c:pt>
                <c:pt idx="23">
                  <c:v>57</c:v>
                </c:pt>
                <c:pt idx="24">
                  <c:v>72</c:v>
                </c:pt>
                <c:pt idx="25">
                  <c:v>210</c:v>
                </c:pt>
                <c:pt idx="26">
                  <c:v>432</c:v>
                </c:pt>
                <c:pt idx="27">
                  <c:v>189</c:v>
                </c:pt>
                <c:pt idx="28">
                  <c:v>303</c:v>
                </c:pt>
                <c:pt idx="29">
                  <c:v>21</c:v>
                </c:pt>
                <c:pt idx="30">
                  <c:v>492</c:v>
                </c:pt>
                <c:pt idx="31">
                  <c:v>42</c:v>
                </c:pt>
                <c:pt idx="32">
                  <c:v>75</c:v>
                </c:pt>
                <c:pt idx="33">
                  <c:v>90</c:v>
                </c:pt>
                <c:pt idx="34">
                  <c:v>456</c:v>
                </c:pt>
                <c:pt idx="35">
                  <c:v>174</c:v>
                </c:pt>
                <c:pt idx="36">
                  <c:v>243</c:v>
                </c:pt>
                <c:pt idx="37">
                  <c:v>81</c:v>
                </c:pt>
                <c:pt idx="38">
                  <c:v>504</c:v>
                </c:pt>
                <c:pt idx="39">
                  <c:v>39</c:v>
                </c:pt>
                <c:pt idx="40">
                  <c:v>87</c:v>
                </c:pt>
                <c:pt idx="41">
                  <c:v>21</c:v>
                </c:pt>
                <c:pt idx="42">
                  <c:v>213</c:v>
                </c:pt>
                <c:pt idx="43">
                  <c:v>120</c:v>
                </c:pt>
                <c:pt idx="44">
                  <c:v>45</c:v>
                </c:pt>
                <c:pt idx="45">
                  <c:v>216</c:v>
                </c:pt>
                <c:pt idx="46">
                  <c:v>36</c:v>
                </c:pt>
                <c:pt idx="47">
                  <c:v>327</c:v>
                </c:pt>
                <c:pt idx="48">
                  <c:v>201</c:v>
                </c:pt>
                <c:pt idx="49">
                  <c:v>96</c:v>
                </c:pt>
                <c:pt idx="50">
                  <c:v>276</c:v>
                </c:pt>
                <c:pt idx="51">
                  <c:v>54</c:v>
                </c:pt>
                <c:pt idx="52">
                  <c:v>183</c:v>
                </c:pt>
                <c:pt idx="53">
                  <c:v>21</c:v>
                </c:pt>
                <c:pt idx="54">
                  <c:v>81</c:v>
                </c:pt>
                <c:pt idx="55">
                  <c:v>126</c:v>
                </c:pt>
                <c:pt idx="56">
                  <c:v>372</c:v>
                </c:pt>
                <c:pt idx="57">
                  <c:v>27</c:v>
                </c:pt>
                <c:pt idx="58">
                  <c:v>6</c:v>
                </c:pt>
                <c:pt idx="59">
                  <c:v>252</c:v>
                </c:pt>
                <c:pt idx="60">
                  <c:v>48</c:v>
                </c:pt>
                <c:pt idx="61">
                  <c:v>123</c:v>
                </c:pt>
                <c:pt idx="62">
                  <c:v>459</c:v>
                </c:pt>
                <c:pt idx="63">
                  <c:v>303</c:v>
                </c:pt>
                <c:pt idx="64">
                  <c:v>276</c:v>
                </c:pt>
                <c:pt idx="65">
                  <c:v>225</c:v>
                </c:pt>
                <c:pt idx="66">
                  <c:v>183</c:v>
                </c:pt>
                <c:pt idx="67">
                  <c:v>54</c:v>
                </c:pt>
                <c:pt idx="68">
                  <c:v>78</c:v>
                </c:pt>
                <c:pt idx="69">
                  <c:v>102</c:v>
                </c:pt>
                <c:pt idx="70">
                  <c:v>48</c:v>
                </c:pt>
                <c:pt idx="71">
                  <c:v>30</c:v>
                </c:pt>
                <c:pt idx="72">
                  <c:v>15</c:v>
                </c:pt>
                <c:pt idx="73">
                  <c:v>42</c:v>
                </c:pt>
                <c:pt idx="74">
                  <c:v>45</c:v>
                </c:pt>
                <c:pt idx="75">
                  <c:v>237</c:v>
                </c:pt>
                <c:pt idx="76">
                  <c:v>63</c:v>
                </c:pt>
                <c:pt idx="77">
                  <c:v>93</c:v>
                </c:pt>
                <c:pt idx="78">
                  <c:v>102</c:v>
                </c:pt>
                <c:pt idx="79">
                  <c:v>9</c:v>
                </c:pt>
                <c:pt idx="80">
                  <c:v>174</c:v>
                </c:pt>
                <c:pt idx="81">
                  <c:v>3</c:v>
                </c:pt>
                <c:pt idx="82">
                  <c:v>27</c:v>
                </c:pt>
                <c:pt idx="83">
                  <c:v>144</c:v>
                </c:pt>
                <c:pt idx="84">
                  <c:v>3</c:v>
                </c:pt>
                <c:pt idx="85">
                  <c:v>12</c:v>
                </c:pt>
                <c:pt idx="86">
                  <c:v>42</c:v>
                </c:pt>
                <c:pt idx="87">
                  <c:v>258</c:v>
                </c:pt>
                <c:pt idx="88">
                  <c:v>297</c:v>
                </c:pt>
                <c:pt idx="89">
                  <c:v>525</c:v>
                </c:pt>
                <c:pt idx="90">
                  <c:v>252</c:v>
                </c:pt>
                <c:pt idx="91">
                  <c:v>168</c:v>
                </c:pt>
                <c:pt idx="92">
                  <c:v>30</c:v>
                </c:pt>
                <c:pt idx="93">
                  <c:v>204</c:v>
                </c:pt>
                <c:pt idx="94">
                  <c:v>0</c:v>
                </c:pt>
                <c:pt idx="95">
                  <c:v>51</c:v>
                </c:pt>
                <c:pt idx="96">
                  <c:v>288</c:v>
                </c:pt>
                <c:pt idx="97">
                  <c:v>21</c:v>
                </c:pt>
                <c:pt idx="98">
                  <c:v>156</c:v>
                </c:pt>
                <c:pt idx="99">
                  <c:v>150</c:v>
                </c:pt>
                <c:pt idx="100">
                  <c:v>210</c:v>
                </c:pt>
                <c:pt idx="101">
                  <c:v>12</c:v>
                </c:pt>
                <c:pt idx="102">
                  <c:v>9</c:v>
                </c:pt>
                <c:pt idx="103">
                  <c:v>156</c:v>
                </c:pt>
                <c:pt idx="104">
                  <c:v>171</c:v>
                </c:pt>
                <c:pt idx="105">
                  <c:v>189</c:v>
                </c:pt>
                <c:pt idx="106">
                  <c:v>126</c:v>
                </c:pt>
                <c:pt idx="107">
                  <c:v>279</c:v>
                </c:pt>
                <c:pt idx="108">
                  <c:v>36</c:v>
                </c:pt>
                <c:pt idx="109">
                  <c:v>123</c:v>
                </c:pt>
                <c:pt idx="110">
                  <c:v>69</c:v>
                </c:pt>
                <c:pt idx="111">
                  <c:v>300</c:v>
                </c:pt>
                <c:pt idx="112">
                  <c:v>246</c:v>
                </c:pt>
                <c:pt idx="113">
                  <c:v>174</c:v>
                </c:pt>
                <c:pt idx="114">
                  <c:v>30</c:v>
                </c:pt>
                <c:pt idx="115">
                  <c:v>63</c:v>
                </c:pt>
                <c:pt idx="116">
                  <c:v>324</c:v>
                </c:pt>
                <c:pt idx="117">
                  <c:v>240</c:v>
                </c:pt>
                <c:pt idx="118">
                  <c:v>111</c:v>
                </c:pt>
                <c:pt idx="119">
                  <c:v>333</c:v>
                </c:pt>
                <c:pt idx="120">
                  <c:v>357</c:v>
                </c:pt>
                <c:pt idx="121">
                  <c:v>246</c:v>
                </c:pt>
                <c:pt idx="122">
                  <c:v>201</c:v>
                </c:pt>
                <c:pt idx="123">
                  <c:v>153</c:v>
                </c:pt>
                <c:pt idx="124">
                  <c:v>348</c:v>
                </c:pt>
                <c:pt idx="125">
                  <c:v>30</c:v>
                </c:pt>
                <c:pt idx="126">
                  <c:v>156</c:v>
                </c:pt>
                <c:pt idx="127">
                  <c:v>207</c:v>
                </c:pt>
                <c:pt idx="128">
                  <c:v>60</c:v>
                </c:pt>
                <c:pt idx="129">
                  <c:v>24</c:v>
                </c:pt>
                <c:pt idx="130">
                  <c:v>162</c:v>
                </c:pt>
                <c:pt idx="131">
                  <c:v>171</c:v>
                </c:pt>
                <c:pt idx="132">
                  <c:v>126</c:v>
                </c:pt>
                <c:pt idx="133">
                  <c:v>144</c:v>
                </c:pt>
                <c:pt idx="134">
                  <c:v>72</c:v>
                </c:pt>
                <c:pt idx="135">
                  <c:v>306</c:v>
                </c:pt>
                <c:pt idx="136">
                  <c:v>177</c:v>
                </c:pt>
                <c:pt idx="137">
                  <c:v>102</c:v>
                </c:pt>
                <c:pt idx="138">
                  <c:v>24</c:v>
                </c:pt>
                <c:pt idx="139">
                  <c:v>279</c:v>
                </c:pt>
                <c:pt idx="140">
                  <c:v>159</c:v>
                </c:pt>
                <c:pt idx="141">
                  <c:v>165</c:v>
                </c:pt>
                <c:pt idx="142">
                  <c:v>150</c:v>
                </c:pt>
                <c:pt idx="143">
                  <c:v>213</c:v>
                </c:pt>
                <c:pt idx="144">
                  <c:v>312</c:v>
                </c:pt>
                <c:pt idx="145">
                  <c:v>51</c:v>
                </c:pt>
                <c:pt idx="146">
                  <c:v>81</c:v>
                </c:pt>
                <c:pt idx="147">
                  <c:v>459</c:v>
                </c:pt>
                <c:pt idx="148">
                  <c:v>3</c:v>
                </c:pt>
                <c:pt idx="149">
                  <c:v>288</c:v>
                </c:pt>
                <c:pt idx="150">
                  <c:v>96</c:v>
                </c:pt>
                <c:pt idx="151">
                  <c:v>366</c:v>
                </c:pt>
                <c:pt idx="152">
                  <c:v>123</c:v>
                </c:pt>
                <c:pt idx="153">
                  <c:v>75</c:v>
                </c:pt>
                <c:pt idx="154">
                  <c:v>39</c:v>
                </c:pt>
                <c:pt idx="155">
                  <c:v>348</c:v>
                </c:pt>
                <c:pt idx="156">
                  <c:v>75</c:v>
                </c:pt>
                <c:pt idx="157">
                  <c:v>72</c:v>
                </c:pt>
                <c:pt idx="158">
                  <c:v>306</c:v>
                </c:pt>
                <c:pt idx="159">
                  <c:v>54</c:v>
                </c:pt>
                <c:pt idx="160">
                  <c:v>225</c:v>
                </c:pt>
                <c:pt idx="161">
                  <c:v>246</c:v>
                </c:pt>
                <c:pt idx="162">
                  <c:v>27</c:v>
                </c:pt>
                <c:pt idx="163">
                  <c:v>378</c:v>
                </c:pt>
                <c:pt idx="164">
                  <c:v>3</c:v>
                </c:pt>
                <c:pt idx="165">
                  <c:v>189</c:v>
                </c:pt>
                <c:pt idx="166">
                  <c:v>9</c:v>
                </c:pt>
                <c:pt idx="167">
                  <c:v>45</c:v>
                </c:pt>
                <c:pt idx="168">
                  <c:v>93</c:v>
                </c:pt>
                <c:pt idx="169">
                  <c:v>102</c:v>
                </c:pt>
                <c:pt idx="170">
                  <c:v>300</c:v>
                </c:pt>
                <c:pt idx="171">
                  <c:v>42</c:v>
                </c:pt>
                <c:pt idx="172">
                  <c:v>246</c:v>
                </c:pt>
                <c:pt idx="173">
                  <c:v>114</c:v>
                </c:pt>
                <c:pt idx="174">
                  <c:v>75</c:v>
                </c:pt>
                <c:pt idx="175">
                  <c:v>9</c:v>
                </c:pt>
                <c:pt idx="176">
                  <c:v>93</c:v>
                </c:pt>
                <c:pt idx="177">
                  <c:v>363</c:v>
                </c:pt>
                <c:pt idx="178">
                  <c:v>54</c:v>
                </c:pt>
                <c:pt idx="179">
                  <c:v>120</c:v>
                </c:pt>
                <c:pt idx="180">
                  <c:v>177</c:v>
                </c:pt>
                <c:pt idx="181">
                  <c:v>204</c:v>
                </c:pt>
                <c:pt idx="182">
                  <c:v>18</c:v>
                </c:pt>
                <c:pt idx="183">
                  <c:v>6</c:v>
                </c:pt>
                <c:pt idx="184">
                  <c:v>90</c:v>
                </c:pt>
                <c:pt idx="185">
                  <c:v>45</c:v>
                </c:pt>
                <c:pt idx="186">
                  <c:v>21</c:v>
                </c:pt>
                <c:pt idx="187">
                  <c:v>342</c:v>
                </c:pt>
                <c:pt idx="188">
                  <c:v>234</c:v>
                </c:pt>
                <c:pt idx="189">
                  <c:v>99</c:v>
                </c:pt>
                <c:pt idx="190">
                  <c:v>144</c:v>
                </c:pt>
                <c:pt idx="191">
                  <c:v>255</c:v>
                </c:pt>
                <c:pt idx="192">
                  <c:v>15</c:v>
                </c:pt>
                <c:pt idx="193">
                  <c:v>9</c:v>
                </c:pt>
                <c:pt idx="194">
                  <c:v>177</c:v>
                </c:pt>
                <c:pt idx="195">
                  <c:v>261</c:v>
                </c:pt>
                <c:pt idx="196">
                  <c:v>123</c:v>
                </c:pt>
                <c:pt idx="197">
                  <c:v>135</c:v>
                </c:pt>
                <c:pt idx="198">
                  <c:v>447</c:v>
                </c:pt>
                <c:pt idx="199">
                  <c:v>63</c:v>
                </c:pt>
                <c:pt idx="200">
                  <c:v>48</c:v>
                </c:pt>
                <c:pt idx="201">
                  <c:v>75</c:v>
                </c:pt>
                <c:pt idx="202">
                  <c:v>117</c:v>
                </c:pt>
                <c:pt idx="203">
                  <c:v>141</c:v>
                </c:pt>
                <c:pt idx="204">
                  <c:v>138</c:v>
                </c:pt>
                <c:pt idx="205">
                  <c:v>117</c:v>
                </c:pt>
                <c:pt idx="206">
                  <c:v>114</c:v>
                </c:pt>
                <c:pt idx="207">
                  <c:v>27</c:v>
                </c:pt>
                <c:pt idx="208">
                  <c:v>66</c:v>
                </c:pt>
                <c:pt idx="209">
                  <c:v>186</c:v>
                </c:pt>
                <c:pt idx="210">
                  <c:v>414</c:v>
                </c:pt>
                <c:pt idx="211">
                  <c:v>168</c:v>
                </c:pt>
                <c:pt idx="212">
                  <c:v>78</c:v>
                </c:pt>
                <c:pt idx="213">
                  <c:v>117</c:v>
                </c:pt>
                <c:pt idx="214">
                  <c:v>219</c:v>
                </c:pt>
                <c:pt idx="215">
                  <c:v>39</c:v>
                </c:pt>
                <c:pt idx="216">
                  <c:v>195</c:v>
                </c:pt>
                <c:pt idx="217">
                  <c:v>369</c:v>
                </c:pt>
                <c:pt idx="218">
                  <c:v>192</c:v>
                </c:pt>
                <c:pt idx="219">
                  <c:v>405</c:v>
                </c:pt>
                <c:pt idx="220">
                  <c:v>195</c:v>
                </c:pt>
                <c:pt idx="221">
                  <c:v>462</c:v>
                </c:pt>
                <c:pt idx="222">
                  <c:v>270</c:v>
                </c:pt>
                <c:pt idx="223">
                  <c:v>204</c:v>
                </c:pt>
                <c:pt idx="224">
                  <c:v>234</c:v>
                </c:pt>
                <c:pt idx="225">
                  <c:v>93</c:v>
                </c:pt>
                <c:pt idx="226">
                  <c:v>102</c:v>
                </c:pt>
                <c:pt idx="227">
                  <c:v>63</c:v>
                </c:pt>
                <c:pt idx="228">
                  <c:v>48</c:v>
                </c:pt>
                <c:pt idx="229">
                  <c:v>114</c:v>
                </c:pt>
                <c:pt idx="230">
                  <c:v>126</c:v>
                </c:pt>
                <c:pt idx="231">
                  <c:v>303</c:v>
                </c:pt>
                <c:pt idx="232">
                  <c:v>96</c:v>
                </c:pt>
                <c:pt idx="233">
                  <c:v>141</c:v>
                </c:pt>
                <c:pt idx="234">
                  <c:v>27</c:v>
                </c:pt>
                <c:pt idx="235">
                  <c:v>240</c:v>
                </c:pt>
                <c:pt idx="236">
                  <c:v>105</c:v>
                </c:pt>
                <c:pt idx="237">
                  <c:v>102</c:v>
                </c:pt>
                <c:pt idx="238">
                  <c:v>39</c:v>
                </c:pt>
                <c:pt idx="239">
                  <c:v>15</c:v>
                </c:pt>
                <c:pt idx="240">
                  <c:v>93</c:v>
                </c:pt>
                <c:pt idx="241">
                  <c:v>72</c:v>
                </c:pt>
                <c:pt idx="242">
                  <c:v>135</c:v>
                </c:pt>
                <c:pt idx="243">
                  <c:v>402</c:v>
                </c:pt>
                <c:pt idx="244">
                  <c:v>75</c:v>
                </c:pt>
                <c:pt idx="245">
                  <c:v>18</c:v>
                </c:pt>
                <c:pt idx="246">
                  <c:v>225</c:v>
                </c:pt>
                <c:pt idx="247">
                  <c:v>282</c:v>
                </c:pt>
                <c:pt idx="248">
                  <c:v>273</c:v>
                </c:pt>
                <c:pt idx="249">
                  <c:v>270</c:v>
                </c:pt>
                <c:pt idx="250">
                  <c:v>54</c:v>
                </c:pt>
                <c:pt idx="251">
                  <c:v>162</c:v>
                </c:pt>
                <c:pt idx="252">
                  <c:v>198</c:v>
                </c:pt>
                <c:pt idx="253">
                  <c:v>147</c:v>
                </c:pt>
                <c:pt idx="254">
                  <c:v>135</c:v>
                </c:pt>
                <c:pt idx="255">
                  <c:v>75</c:v>
                </c:pt>
                <c:pt idx="256">
                  <c:v>6</c:v>
                </c:pt>
                <c:pt idx="257">
                  <c:v>189</c:v>
                </c:pt>
                <c:pt idx="258">
                  <c:v>366</c:v>
                </c:pt>
                <c:pt idx="259">
                  <c:v>195</c:v>
                </c:pt>
                <c:pt idx="260">
                  <c:v>309</c:v>
                </c:pt>
                <c:pt idx="261">
                  <c:v>129</c:v>
                </c:pt>
                <c:pt idx="262">
                  <c:v>510</c:v>
                </c:pt>
                <c:pt idx="263">
                  <c:v>306</c:v>
                </c:pt>
                <c:pt idx="264">
                  <c:v>519</c:v>
                </c:pt>
                <c:pt idx="265">
                  <c:v>231</c:v>
                </c:pt>
                <c:pt idx="266">
                  <c:v>174</c:v>
                </c:pt>
                <c:pt idx="267">
                  <c:v>87</c:v>
                </c:pt>
                <c:pt idx="268">
                  <c:v>36</c:v>
                </c:pt>
                <c:pt idx="269">
                  <c:v>51</c:v>
                </c:pt>
                <c:pt idx="270">
                  <c:v>87</c:v>
                </c:pt>
                <c:pt idx="271">
                  <c:v>99</c:v>
                </c:pt>
                <c:pt idx="272">
                  <c:v>228</c:v>
                </c:pt>
                <c:pt idx="273">
                  <c:v>81</c:v>
                </c:pt>
                <c:pt idx="274">
                  <c:v>15</c:v>
                </c:pt>
                <c:pt idx="275">
                  <c:v>48</c:v>
                </c:pt>
                <c:pt idx="276">
                  <c:v>75</c:v>
                </c:pt>
                <c:pt idx="277">
                  <c:v>63</c:v>
                </c:pt>
                <c:pt idx="278">
                  <c:v>84</c:v>
                </c:pt>
                <c:pt idx="279">
                  <c:v>75</c:v>
                </c:pt>
                <c:pt idx="280">
                  <c:v>87</c:v>
                </c:pt>
                <c:pt idx="281">
                  <c:v>249</c:v>
                </c:pt>
                <c:pt idx="282">
                  <c:v>126</c:v>
                </c:pt>
                <c:pt idx="283">
                  <c:v>144</c:v>
                </c:pt>
                <c:pt idx="284">
                  <c:v>87</c:v>
                </c:pt>
                <c:pt idx="285">
                  <c:v>207</c:v>
                </c:pt>
                <c:pt idx="286">
                  <c:v>54</c:v>
                </c:pt>
                <c:pt idx="287">
                  <c:v>288</c:v>
                </c:pt>
                <c:pt idx="288">
                  <c:v>18</c:v>
                </c:pt>
                <c:pt idx="289">
                  <c:v>36</c:v>
                </c:pt>
                <c:pt idx="290">
                  <c:v>48</c:v>
                </c:pt>
                <c:pt idx="291">
                  <c:v>48</c:v>
                </c:pt>
                <c:pt idx="292">
                  <c:v>84</c:v>
                </c:pt>
                <c:pt idx="293">
                  <c:v>21</c:v>
                </c:pt>
                <c:pt idx="294">
                  <c:v>159</c:v>
                </c:pt>
                <c:pt idx="295">
                  <c:v>204</c:v>
                </c:pt>
                <c:pt idx="296">
                  <c:v>123</c:v>
                </c:pt>
                <c:pt idx="297">
                  <c:v>51</c:v>
                </c:pt>
                <c:pt idx="298">
                  <c:v>150</c:v>
                </c:pt>
                <c:pt idx="299">
                  <c:v>168</c:v>
                </c:pt>
                <c:pt idx="300">
                  <c:v>135</c:v>
                </c:pt>
              </c:numCache>
            </c:numRef>
          </c:yVal>
          <c:smooth val="0"/>
          <c:extLst>
            <c:ext xmlns:c16="http://schemas.microsoft.com/office/drawing/2014/chart" uri="{C3380CC4-5D6E-409C-BE32-E72D297353CC}">
              <c16:uniqueId val="{00000000-49A3-4ACE-B164-5D9D1D10E16D}"/>
            </c:ext>
          </c:extLst>
        </c:ser>
        <c:dLbls>
          <c:showLegendKey val="0"/>
          <c:showVal val="0"/>
          <c:showCatName val="0"/>
          <c:showSerName val="0"/>
          <c:showPercent val="0"/>
          <c:showBubbleSize val="0"/>
        </c:dLbls>
        <c:axId val="760082351"/>
        <c:axId val="760083311"/>
      </c:scatterChart>
      <c:valAx>
        <c:axId val="76008235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83311"/>
        <c:crosses val="autoZero"/>
        <c:crossBetween val="midCat"/>
      </c:valAx>
      <c:valAx>
        <c:axId val="76008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823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Distribution of Amount for each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Amount for each country</a:t>
          </a:r>
        </a:p>
      </cx:txPr>
    </cx:title>
    <cx:plotArea>
      <cx:plotAreaRegion>
        <cx:series layoutId="boxWhisker" uniqueId="{BB9B9563-6C59-4690-B0E9-14E3F9581E3D}">
          <cx:tx>
            <cx:txData>
              <cx:f>_xlchart.v1.1</cx:f>
              <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4.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0</xdr:rowOff>
    </xdr:from>
    <xdr:to>
      <xdr:col>29</xdr:col>
      <xdr:colOff>266700</xdr:colOff>
      <xdr:row>3</xdr:row>
      <xdr:rowOff>47625</xdr:rowOff>
    </xdr:to>
    <xdr:sp macro="" textlink="">
      <xdr:nvSpPr>
        <xdr:cNvPr id="3" name="Rectangle 2">
          <a:extLst>
            <a:ext uri="{FF2B5EF4-FFF2-40B4-BE49-F238E27FC236}">
              <a16:creationId xmlns:a16="http://schemas.microsoft.com/office/drawing/2014/main" id="{F17D6886-D3D2-9C2B-B926-019CDD5A59C8}"/>
            </a:ext>
          </a:extLst>
        </xdr:cNvPr>
        <xdr:cNvSpPr/>
      </xdr:nvSpPr>
      <xdr:spPr>
        <a:xfrm>
          <a:off x="104775" y="0"/>
          <a:ext cx="17840325" cy="6191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a:t>dsaa          </a:t>
          </a:r>
        </a:p>
        <a:p>
          <a:pPr algn="l"/>
          <a:r>
            <a:rPr lang="en-IN" sz="1100"/>
            <a:t>                       </a:t>
          </a:r>
          <a:r>
            <a:rPr lang="en-IN" sz="2000" b="1"/>
            <a:t>Exploratory Data Analysis (EDA) with CF</a:t>
          </a:r>
        </a:p>
      </xdr:txBody>
    </xdr:sp>
    <xdr:clientData/>
  </xdr:twoCellAnchor>
  <xdr:twoCellAnchor>
    <xdr:from>
      <xdr:col>0</xdr:col>
      <xdr:colOff>0</xdr:colOff>
      <xdr:row>0</xdr:row>
      <xdr:rowOff>9525</xdr:rowOff>
    </xdr:from>
    <xdr:to>
      <xdr:col>0</xdr:col>
      <xdr:colOff>514350</xdr:colOff>
      <xdr:row>3</xdr:row>
      <xdr:rowOff>38100</xdr:rowOff>
    </xdr:to>
    <xdr:sp macro="" textlink="">
      <xdr:nvSpPr>
        <xdr:cNvPr id="4" name="Rectangle 3">
          <a:extLst>
            <a:ext uri="{FF2B5EF4-FFF2-40B4-BE49-F238E27FC236}">
              <a16:creationId xmlns:a16="http://schemas.microsoft.com/office/drawing/2014/main" id="{59B3C671-7D65-D28E-6012-E2EC3E44842A}"/>
            </a:ext>
          </a:extLst>
        </xdr:cNvPr>
        <xdr:cNvSpPr/>
      </xdr:nvSpPr>
      <xdr:spPr>
        <a:xfrm>
          <a:off x="0" y="9525"/>
          <a:ext cx="514350" cy="600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552451</xdr:colOff>
      <xdr:row>4</xdr:row>
      <xdr:rowOff>0</xdr:rowOff>
    </xdr:to>
    <xdr:sp macro="" textlink="">
      <xdr:nvSpPr>
        <xdr:cNvPr id="3" name="Rectangle 2">
          <a:extLst>
            <a:ext uri="{FF2B5EF4-FFF2-40B4-BE49-F238E27FC236}">
              <a16:creationId xmlns:a16="http://schemas.microsoft.com/office/drawing/2014/main" id="{FB138E86-7D0C-A473-8426-C49F53AB8F88}"/>
            </a:ext>
          </a:extLst>
        </xdr:cNvPr>
        <xdr:cNvSpPr/>
      </xdr:nvSpPr>
      <xdr:spPr>
        <a:xfrm>
          <a:off x="0" y="0"/>
          <a:ext cx="16402051" cy="10382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baseline="0"/>
            <a:t>                        </a:t>
          </a:r>
        </a:p>
        <a:p>
          <a:pPr algn="l"/>
          <a:endParaRPr lang="en-IN" sz="1100" baseline="0"/>
        </a:p>
        <a:p>
          <a:pPr algn="l"/>
          <a:r>
            <a:rPr lang="en-IN" sz="1100" baseline="0"/>
            <a:t>                           </a:t>
          </a:r>
          <a:r>
            <a:rPr lang="en-IN" sz="2800" baseline="0">
              <a:solidFill>
                <a:schemeClr val="tx1">
                  <a:lumMod val="95000"/>
                  <a:lumOff val="5000"/>
                </a:schemeClr>
              </a:solidFill>
              <a:latin typeface="+mj-lt"/>
            </a:rPr>
            <a:t>Sales by country (with formulas)</a:t>
          </a:r>
          <a:endParaRPr lang="en-IN" sz="1100">
            <a:solidFill>
              <a:schemeClr val="tx1">
                <a:lumMod val="95000"/>
                <a:lumOff val="5000"/>
              </a:schemeClr>
            </a:solidFill>
            <a:latin typeface="+mj-lt"/>
          </a:endParaRPr>
        </a:p>
      </xdr:txBody>
    </xdr:sp>
    <xdr:clientData/>
  </xdr:twoCellAnchor>
  <xdr:twoCellAnchor>
    <xdr:from>
      <xdr:col>27</xdr:col>
      <xdr:colOff>514350</xdr:colOff>
      <xdr:row>0</xdr:row>
      <xdr:rowOff>0</xdr:rowOff>
    </xdr:from>
    <xdr:to>
      <xdr:col>54</xdr:col>
      <xdr:colOff>457201</xdr:colOff>
      <xdr:row>4</xdr:row>
      <xdr:rowOff>0</xdr:rowOff>
    </xdr:to>
    <xdr:sp macro="" textlink="">
      <xdr:nvSpPr>
        <xdr:cNvPr id="6" name="Rectangle 5">
          <a:extLst>
            <a:ext uri="{FF2B5EF4-FFF2-40B4-BE49-F238E27FC236}">
              <a16:creationId xmlns:a16="http://schemas.microsoft.com/office/drawing/2014/main" id="{35E8509C-83D4-41AC-9AC6-EF747690D6A7}"/>
            </a:ext>
          </a:extLst>
        </xdr:cNvPr>
        <xdr:cNvSpPr/>
      </xdr:nvSpPr>
      <xdr:spPr>
        <a:xfrm>
          <a:off x="16363950" y="0"/>
          <a:ext cx="16402051" cy="76200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28574</xdr:colOff>
      <xdr:row>4</xdr:row>
      <xdr:rowOff>0</xdr:rowOff>
    </xdr:to>
    <xdr:sp macro="" textlink="">
      <xdr:nvSpPr>
        <xdr:cNvPr id="7" name="Rectangle 6">
          <a:extLst>
            <a:ext uri="{FF2B5EF4-FFF2-40B4-BE49-F238E27FC236}">
              <a16:creationId xmlns:a16="http://schemas.microsoft.com/office/drawing/2014/main" id="{5AAC35C8-EEFE-1842-32BF-CDD1627F687B}"/>
            </a:ext>
          </a:extLst>
        </xdr:cNvPr>
        <xdr:cNvSpPr/>
      </xdr:nvSpPr>
      <xdr:spPr>
        <a:xfrm>
          <a:off x="0" y="0"/>
          <a:ext cx="638174" cy="1038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552451</xdr:colOff>
      <xdr:row>4</xdr:row>
      <xdr:rowOff>0</xdr:rowOff>
    </xdr:to>
    <xdr:sp macro="" textlink="">
      <xdr:nvSpPr>
        <xdr:cNvPr id="2" name="Rectangle 1">
          <a:extLst>
            <a:ext uri="{FF2B5EF4-FFF2-40B4-BE49-F238E27FC236}">
              <a16:creationId xmlns:a16="http://schemas.microsoft.com/office/drawing/2014/main" id="{D2E3C2BE-9518-40AF-9477-8BD6A9E89787}"/>
            </a:ext>
          </a:extLst>
        </xdr:cNvPr>
        <xdr:cNvSpPr/>
      </xdr:nvSpPr>
      <xdr:spPr>
        <a:xfrm>
          <a:off x="0" y="0"/>
          <a:ext cx="17240251"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baseline="0"/>
            <a:t>                        </a:t>
          </a:r>
        </a:p>
        <a:p>
          <a:pPr algn="l"/>
          <a:endParaRPr lang="en-IN" sz="1100" baseline="0"/>
        </a:p>
        <a:p>
          <a:pPr algn="l"/>
          <a:r>
            <a:rPr lang="en-IN" sz="1100" baseline="0"/>
            <a:t>                           </a:t>
          </a:r>
          <a:r>
            <a:rPr lang="en-IN" sz="2800" baseline="0">
              <a:solidFill>
                <a:schemeClr val="tx1">
                  <a:lumMod val="95000"/>
                  <a:lumOff val="5000"/>
                </a:schemeClr>
              </a:solidFill>
              <a:latin typeface="+mj-lt"/>
            </a:rPr>
            <a:t>Sales by country (with Pivots) </a:t>
          </a:r>
          <a:endParaRPr lang="en-IN" sz="1100">
            <a:solidFill>
              <a:schemeClr val="tx1">
                <a:lumMod val="95000"/>
                <a:lumOff val="5000"/>
              </a:schemeClr>
            </a:solidFill>
            <a:latin typeface="+mj-lt"/>
          </a:endParaRPr>
        </a:p>
      </xdr:txBody>
    </xdr:sp>
    <xdr:clientData/>
  </xdr:twoCellAnchor>
  <xdr:twoCellAnchor>
    <xdr:from>
      <xdr:col>27</xdr:col>
      <xdr:colOff>514350</xdr:colOff>
      <xdr:row>0</xdr:row>
      <xdr:rowOff>0</xdr:rowOff>
    </xdr:from>
    <xdr:to>
      <xdr:col>54</xdr:col>
      <xdr:colOff>457201</xdr:colOff>
      <xdr:row>4</xdr:row>
      <xdr:rowOff>0</xdr:rowOff>
    </xdr:to>
    <xdr:sp macro="" textlink="">
      <xdr:nvSpPr>
        <xdr:cNvPr id="3" name="Rectangle 2">
          <a:extLst>
            <a:ext uri="{FF2B5EF4-FFF2-40B4-BE49-F238E27FC236}">
              <a16:creationId xmlns:a16="http://schemas.microsoft.com/office/drawing/2014/main" id="{ABAC2914-8908-4C20-AAF7-B869CC89CF9F}"/>
            </a:ext>
          </a:extLst>
        </xdr:cNvPr>
        <xdr:cNvSpPr/>
      </xdr:nvSpPr>
      <xdr:spPr>
        <a:xfrm>
          <a:off x="17202150" y="0"/>
          <a:ext cx="16402051"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28574</xdr:colOff>
      <xdr:row>4</xdr:row>
      <xdr:rowOff>0</xdr:rowOff>
    </xdr:to>
    <xdr:sp macro="" textlink="">
      <xdr:nvSpPr>
        <xdr:cNvPr id="4" name="Rectangle 3">
          <a:extLst>
            <a:ext uri="{FF2B5EF4-FFF2-40B4-BE49-F238E27FC236}">
              <a16:creationId xmlns:a16="http://schemas.microsoft.com/office/drawing/2014/main" id="{72CB7E76-E3BC-413E-A923-ECC981E432C7}"/>
            </a:ext>
          </a:extLst>
        </xdr:cNvPr>
        <xdr:cNvSpPr/>
      </xdr:nvSpPr>
      <xdr:spPr>
        <a:xfrm>
          <a:off x="0" y="0"/>
          <a:ext cx="638174" cy="11144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20624</xdr:colOff>
      <xdr:row>6</xdr:row>
      <xdr:rowOff>184051</xdr:rowOff>
    </xdr:from>
    <xdr:to>
      <xdr:col>18</xdr:col>
      <xdr:colOff>104999</xdr:colOff>
      <xdr:row>16</xdr:row>
      <xdr:rowOff>37501</xdr:rowOff>
    </xdr:to>
    <mc:AlternateContent xmlns:mc="http://schemas.openxmlformats.org/markup-compatibility/2006" xmlns:a14="http://schemas.microsoft.com/office/drawing/2010/main">
      <mc:Choice Requires="a14">
        <xdr:graphicFrame macro="">
          <xdr:nvGraphicFramePr>
            <xdr:cNvPr id="8" name="Sales Person">
              <a:extLst>
                <a:ext uri="{FF2B5EF4-FFF2-40B4-BE49-F238E27FC236}">
                  <a16:creationId xmlns:a16="http://schemas.microsoft.com/office/drawing/2014/main" id="{F4BA6EB5-0681-79B0-DA7B-0ABD58DE87E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5839679" y="1688841"/>
              <a:ext cx="3542190" cy="1830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229424</xdr:colOff>
      <xdr:row>18</xdr:row>
      <xdr:rowOff>16801</xdr:rowOff>
    </xdr:from>
    <xdr:to>
      <xdr:col>22</xdr:col>
      <xdr:colOff>120000</xdr:colOff>
      <xdr:row>29</xdr:row>
      <xdr:rowOff>45001</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CA29EB38-1520-C0E2-5356-BB18ECA7365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039949" y="3882830"/>
              <a:ext cx="5893727" cy="2141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552451</xdr:colOff>
      <xdr:row>4</xdr:row>
      <xdr:rowOff>0</xdr:rowOff>
    </xdr:to>
    <xdr:sp macro="" textlink="">
      <xdr:nvSpPr>
        <xdr:cNvPr id="2" name="Rectangle 1">
          <a:extLst>
            <a:ext uri="{FF2B5EF4-FFF2-40B4-BE49-F238E27FC236}">
              <a16:creationId xmlns:a16="http://schemas.microsoft.com/office/drawing/2014/main" id="{8B25570E-834D-4DC2-8935-9E4CFB9633CE}"/>
            </a:ext>
          </a:extLst>
        </xdr:cNvPr>
        <xdr:cNvSpPr/>
      </xdr:nvSpPr>
      <xdr:spPr>
        <a:xfrm>
          <a:off x="0" y="0"/>
          <a:ext cx="17240251"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baseline="0"/>
            <a:t>                        </a:t>
          </a:r>
        </a:p>
        <a:p>
          <a:pPr algn="l"/>
          <a:endParaRPr lang="en-IN" sz="1100" baseline="0"/>
        </a:p>
        <a:p>
          <a:pPr algn="l"/>
          <a:r>
            <a:rPr lang="en-IN" sz="1100" baseline="0"/>
            <a:t>                           </a:t>
          </a:r>
          <a:r>
            <a:rPr lang="en-IN" sz="2800" baseline="0">
              <a:solidFill>
                <a:schemeClr val="tx1">
                  <a:lumMod val="95000"/>
                  <a:lumOff val="5000"/>
                </a:schemeClr>
              </a:solidFill>
              <a:latin typeface="+mj-lt"/>
            </a:rPr>
            <a:t>Are there any anomalies in the data?</a:t>
          </a:r>
          <a:endParaRPr lang="en-IN" sz="1100">
            <a:solidFill>
              <a:schemeClr val="tx1">
                <a:lumMod val="95000"/>
                <a:lumOff val="5000"/>
              </a:schemeClr>
            </a:solidFill>
            <a:latin typeface="+mj-lt"/>
          </a:endParaRPr>
        </a:p>
      </xdr:txBody>
    </xdr:sp>
    <xdr:clientData/>
  </xdr:twoCellAnchor>
  <xdr:twoCellAnchor>
    <xdr:from>
      <xdr:col>27</xdr:col>
      <xdr:colOff>514350</xdr:colOff>
      <xdr:row>0</xdr:row>
      <xdr:rowOff>0</xdr:rowOff>
    </xdr:from>
    <xdr:to>
      <xdr:col>54</xdr:col>
      <xdr:colOff>457201</xdr:colOff>
      <xdr:row>4</xdr:row>
      <xdr:rowOff>0</xdr:rowOff>
    </xdr:to>
    <xdr:sp macro="" textlink="">
      <xdr:nvSpPr>
        <xdr:cNvPr id="3" name="Rectangle 2">
          <a:extLst>
            <a:ext uri="{FF2B5EF4-FFF2-40B4-BE49-F238E27FC236}">
              <a16:creationId xmlns:a16="http://schemas.microsoft.com/office/drawing/2014/main" id="{D599C3F1-28C0-49D1-ABB4-52E9C080F70F}"/>
            </a:ext>
          </a:extLst>
        </xdr:cNvPr>
        <xdr:cNvSpPr/>
      </xdr:nvSpPr>
      <xdr:spPr>
        <a:xfrm>
          <a:off x="17202150" y="0"/>
          <a:ext cx="16402051"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28574</xdr:colOff>
      <xdr:row>4</xdr:row>
      <xdr:rowOff>0</xdr:rowOff>
    </xdr:to>
    <xdr:sp macro="" textlink="">
      <xdr:nvSpPr>
        <xdr:cNvPr id="4" name="Rectangle 3">
          <a:extLst>
            <a:ext uri="{FF2B5EF4-FFF2-40B4-BE49-F238E27FC236}">
              <a16:creationId xmlns:a16="http://schemas.microsoft.com/office/drawing/2014/main" id="{AB19084D-A464-4367-AA8E-E88AC4CAF753}"/>
            </a:ext>
          </a:extLst>
        </xdr:cNvPr>
        <xdr:cNvSpPr/>
      </xdr:nvSpPr>
      <xdr:spPr>
        <a:xfrm>
          <a:off x="0" y="0"/>
          <a:ext cx="638174" cy="11144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371475</xdr:colOff>
      <xdr:row>7</xdr:row>
      <xdr:rowOff>9525</xdr:rowOff>
    </xdr:from>
    <xdr:to>
      <xdr:col>16</xdr:col>
      <xdr:colOff>371475</xdr:colOff>
      <xdr:row>27</xdr:row>
      <xdr:rowOff>28575</xdr:rowOff>
    </xdr:to>
    <xdr:graphicFrame macro="">
      <xdr:nvGraphicFramePr>
        <xdr:cNvPr id="5" name="Chart 4">
          <a:extLst>
            <a:ext uri="{FF2B5EF4-FFF2-40B4-BE49-F238E27FC236}">
              <a16:creationId xmlns:a16="http://schemas.microsoft.com/office/drawing/2014/main" id="{68B7A9E5-56F1-B9A6-FB0C-EEF5B320F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9621</xdr:colOff>
      <xdr:row>7</xdr:row>
      <xdr:rowOff>19243</xdr:rowOff>
    </xdr:from>
    <xdr:to>
      <xdr:col>8</xdr:col>
      <xdr:colOff>82744</xdr:colOff>
      <xdr:row>27</xdr:row>
      <xdr:rowOff>38485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983AC52-85D4-BBD0-9C5A-C9E67CB434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59301" y="1665163"/>
              <a:ext cx="5567143" cy="36768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552451</xdr:colOff>
      <xdr:row>4</xdr:row>
      <xdr:rowOff>0</xdr:rowOff>
    </xdr:to>
    <xdr:sp macro="" textlink="">
      <xdr:nvSpPr>
        <xdr:cNvPr id="2" name="Rectangle 1">
          <a:extLst>
            <a:ext uri="{FF2B5EF4-FFF2-40B4-BE49-F238E27FC236}">
              <a16:creationId xmlns:a16="http://schemas.microsoft.com/office/drawing/2014/main" id="{C12B3C49-618F-40DA-9A30-C6EFBE0BE3A4}"/>
            </a:ext>
          </a:extLst>
        </xdr:cNvPr>
        <xdr:cNvSpPr/>
      </xdr:nvSpPr>
      <xdr:spPr>
        <a:xfrm>
          <a:off x="0" y="0"/>
          <a:ext cx="17240251"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baseline="0"/>
            <a:t>                        </a:t>
          </a:r>
        </a:p>
        <a:p>
          <a:pPr algn="l"/>
          <a:endParaRPr lang="en-IN" sz="1100" baseline="0"/>
        </a:p>
        <a:p>
          <a:pPr algn="l"/>
          <a:r>
            <a:rPr lang="en-IN" sz="1100" baseline="0"/>
            <a:t>                           </a:t>
          </a:r>
          <a:r>
            <a:rPr lang="en-IN" sz="2800" baseline="0">
              <a:solidFill>
                <a:schemeClr val="tx1">
                  <a:lumMod val="95000"/>
                  <a:lumOff val="5000"/>
                </a:schemeClr>
              </a:solidFill>
              <a:latin typeface="+mj-lt"/>
            </a:rPr>
            <a:t>Sales by country (with formulas)</a:t>
          </a:r>
          <a:endParaRPr lang="en-IN" sz="1100">
            <a:solidFill>
              <a:schemeClr val="tx1">
                <a:lumMod val="95000"/>
                <a:lumOff val="5000"/>
              </a:schemeClr>
            </a:solidFill>
            <a:latin typeface="+mj-lt"/>
          </a:endParaRPr>
        </a:p>
      </xdr:txBody>
    </xdr:sp>
    <xdr:clientData/>
  </xdr:twoCellAnchor>
  <xdr:twoCellAnchor>
    <xdr:from>
      <xdr:col>27</xdr:col>
      <xdr:colOff>514350</xdr:colOff>
      <xdr:row>0</xdr:row>
      <xdr:rowOff>0</xdr:rowOff>
    </xdr:from>
    <xdr:to>
      <xdr:col>54</xdr:col>
      <xdr:colOff>457201</xdr:colOff>
      <xdr:row>4</xdr:row>
      <xdr:rowOff>0</xdr:rowOff>
    </xdr:to>
    <xdr:sp macro="" textlink="">
      <xdr:nvSpPr>
        <xdr:cNvPr id="3" name="Rectangle 2">
          <a:extLst>
            <a:ext uri="{FF2B5EF4-FFF2-40B4-BE49-F238E27FC236}">
              <a16:creationId xmlns:a16="http://schemas.microsoft.com/office/drawing/2014/main" id="{5705D262-4019-47E9-AD53-3ED11DD6EE43}"/>
            </a:ext>
          </a:extLst>
        </xdr:cNvPr>
        <xdr:cNvSpPr/>
      </xdr:nvSpPr>
      <xdr:spPr>
        <a:xfrm>
          <a:off x="17202150" y="0"/>
          <a:ext cx="16402051"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28574</xdr:colOff>
      <xdr:row>4</xdr:row>
      <xdr:rowOff>0</xdr:rowOff>
    </xdr:to>
    <xdr:sp macro="" textlink="">
      <xdr:nvSpPr>
        <xdr:cNvPr id="4" name="Rectangle 3">
          <a:extLst>
            <a:ext uri="{FF2B5EF4-FFF2-40B4-BE49-F238E27FC236}">
              <a16:creationId xmlns:a16="http://schemas.microsoft.com/office/drawing/2014/main" id="{B5684A9F-EE44-4F21-8619-CE2169171B68}"/>
            </a:ext>
          </a:extLst>
        </xdr:cNvPr>
        <xdr:cNvSpPr/>
      </xdr:nvSpPr>
      <xdr:spPr>
        <a:xfrm>
          <a:off x="0" y="0"/>
          <a:ext cx="638174" cy="11144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552451</xdr:colOff>
      <xdr:row>4</xdr:row>
      <xdr:rowOff>0</xdr:rowOff>
    </xdr:to>
    <xdr:sp macro="" textlink="">
      <xdr:nvSpPr>
        <xdr:cNvPr id="2" name="Rectangle 1">
          <a:extLst>
            <a:ext uri="{FF2B5EF4-FFF2-40B4-BE49-F238E27FC236}">
              <a16:creationId xmlns:a16="http://schemas.microsoft.com/office/drawing/2014/main" id="{1ACA2612-027E-4051-A06E-BE253548279D}"/>
            </a:ext>
          </a:extLst>
        </xdr:cNvPr>
        <xdr:cNvSpPr/>
      </xdr:nvSpPr>
      <xdr:spPr>
        <a:xfrm>
          <a:off x="0" y="0"/>
          <a:ext cx="17240251"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baseline="0"/>
            <a:t>                        </a:t>
          </a:r>
        </a:p>
        <a:p>
          <a:pPr algn="l"/>
          <a:endParaRPr lang="en-IN" sz="1100" baseline="0"/>
        </a:p>
        <a:p>
          <a:pPr algn="l"/>
          <a:r>
            <a:rPr lang="en-IN" sz="1100" baseline="0"/>
            <a:t>                           </a:t>
          </a:r>
          <a:r>
            <a:rPr lang="en-IN" sz="2800" baseline="0">
              <a:solidFill>
                <a:schemeClr val="tx1">
                  <a:lumMod val="95000"/>
                  <a:lumOff val="5000"/>
                </a:schemeClr>
              </a:solidFill>
              <a:latin typeface="+mj-lt"/>
            </a:rPr>
            <a:t>Profits by product (using products table) - See column Y</a:t>
          </a:r>
          <a:endParaRPr lang="en-IN" sz="1100">
            <a:solidFill>
              <a:schemeClr val="tx1">
                <a:lumMod val="95000"/>
                <a:lumOff val="5000"/>
              </a:schemeClr>
            </a:solidFill>
            <a:latin typeface="+mj-lt"/>
          </a:endParaRPr>
        </a:p>
      </xdr:txBody>
    </xdr:sp>
    <xdr:clientData/>
  </xdr:twoCellAnchor>
  <xdr:twoCellAnchor>
    <xdr:from>
      <xdr:col>27</xdr:col>
      <xdr:colOff>514350</xdr:colOff>
      <xdr:row>0</xdr:row>
      <xdr:rowOff>0</xdr:rowOff>
    </xdr:from>
    <xdr:to>
      <xdr:col>54</xdr:col>
      <xdr:colOff>457201</xdr:colOff>
      <xdr:row>4</xdr:row>
      <xdr:rowOff>0</xdr:rowOff>
    </xdr:to>
    <xdr:sp macro="" textlink="">
      <xdr:nvSpPr>
        <xdr:cNvPr id="3" name="Rectangle 2">
          <a:extLst>
            <a:ext uri="{FF2B5EF4-FFF2-40B4-BE49-F238E27FC236}">
              <a16:creationId xmlns:a16="http://schemas.microsoft.com/office/drawing/2014/main" id="{0EDDE9BA-3FEA-40BA-98D2-D43D37F2031E}"/>
            </a:ext>
          </a:extLst>
        </xdr:cNvPr>
        <xdr:cNvSpPr/>
      </xdr:nvSpPr>
      <xdr:spPr>
        <a:xfrm>
          <a:off x="17202150" y="0"/>
          <a:ext cx="16402051"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28574</xdr:colOff>
      <xdr:row>4</xdr:row>
      <xdr:rowOff>0</xdr:rowOff>
    </xdr:to>
    <xdr:sp macro="" textlink="">
      <xdr:nvSpPr>
        <xdr:cNvPr id="4" name="Rectangle 3">
          <a:extLst>
            <a:ext uri="{FF2B5EF4-FFF2-40B4-BE49-F238E27FC236}">
              <a16:creationId xmlns:a16="http://schemas.microsoft.com/office/drawing/2014/main" id="{8B79E66C-2553-4A34-A7A0-98E9EBA817B0}"/>
            </a:ext>
          </a:extLst>
        </xdr:cNvPr>
        <xdr:cNvSpPr/>
      </xdr:nvSpPr>
      <xdr:spPr>
        <a:xfrm>
          <a:off x="0" y="0"/>
          <a:ext cx="638174" cy="11144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723091</xdr:colOff>
      <xdr:row>7</xdr:row>
      <xdr:rowOff>1131</xdr:rowOff>
    </xdr:from>
    <xdr:to>
      <xdr:col>13</xdr:col>
      <xdr:colOff>476249</xdr:colOff>
      <xdr:row>15</xdr:row>
      <xdr:rowOff>153370</xdr:rowOff>
    </xdr:to>
    <mc:AlternateContent xmlns:mc="http://schemas.openxmlformats.org/markup-compatibility/2006" xmlns:a14="http://schemas.microsoft.com/office/drawing/2010/main">
      <mc:Choice Requires="a14">
        <xdr:graphicFrame macro="">
          <xdr:nvGraphicFramePr>
            <xdr:cNvPr id="5" name="Sales Person 1">
              <a:extLst>
                <a:ext uri="{FF2B5EF4-FFF2-40B4-BE49-F238E27FC236}">
                  <a16:creationId xmlns:a16="http://schemas.microsoft.com/office/drawing/2014/main" id="{DFEFB6A2-C2B0-F2F1-02A6-C13B22287751}"/>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7568176" y="1704330"/>
              <a:ext cx="3869895" cy="1702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85402</xdr:colOff>
      <xdr:row>16</xdr:row>
      <xdr:rowOff>89923</xdr:rowOff>
    </xdr:from>
    <xdr:to>
      <xdr:col>10</xdr:col>
      <xdr:colOff>364372</xdr:colOff>
      <xdr:row>27</xdr:row>
      <xdr:rowOff>72650</xdr:rowOff>
    </xdr:to>
    <mc:AlternateContent xmlns:mc="http://schemas.openxmlformats.org/markup-compatibility/2006" xmlns:a14="http://schemas.microsoft.com/office/drawing/2010/main">
      <mc:Choice Requires="a14">
        <xdr:graphicFrame macro="">
          <xdr:nvGraphicFramePr>
            <xdr:cNvPr id="6" name="Geography">
              <a:extLst>
                <a:ext uri="{FF2B5EF4-FFF2-40B4-BE49-F238E27FC236}">
                  <a16:creationId xmlns:a16="http://schemas.microsoft.com/office/drawing/2014/main" id="{90B09012-E0A7-BDAF-A628-6273D7BDFD8C}"/>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7656970" y="3536681"/>
              <a:ext cx="1828800" cy="2113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552451</xdr:colOff>
      <xdr:row>4</xdr:row>
      <xdr:rowOff>0</xdr:rowOff>
    </xdr:to>
    <xdr:sp macro="" textlink="">
      <xdr:nvSpPr>
        <xdr:cNvPr id="2" name="Rectangle 1">
          <a:extLst>
            <a:ext uri="{FF2B5EF4-FFF2-40B4-BE49-F238E27FC236}">
              <a16:creationId xmlns:a16="http://schemas.microsoft.com/office/drawing/2014/main" id="{7C0594BE-B336-4B6E-90CA-B0A1647E471D}"/>
            </a:ext>
          </a:extLst>
        </xdr:cNvPr>
        <xdr:cNvSpPr/>
      </xdr:nvSpPr>
      <xdr:spPr>
        <a:xfrm>
          <a:off x="0" y="0"/>
          <a:ext cx="17240251"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baseline="0"/>
            <a:t>                        </a:t>
          </a:r>
        </a:p>
        <a:p>
          <a:pPr algn="l"/>
          <a:endParaRPr lang="en-IN" sz="1100" baseline="0"/>
        </a:p>
        <a:p>
          <a:pPr algn="l"/>
          <a:r>
            <a:rPr lang="en-IN" sz="1100" baseline="0"/>
            <a:t>                           </a:t>
          </a:r>
          <a:r>
            <a:rPr lang="en-IN" sz="2800" baseline="0">
              <a:solidFill>
                <a:schemeClr val="tx1">
                  <a:lumMod val="95000"/>
                  <a:lumOff val="5000"/>
                </a:schemeClr>
              </a:solidFill>
              <a:latin typeface="+mj-lt"/>
            </a:rPr>
            <a:t>Dynamic country-level Sales Report</a:t>
          </a:r>
          <a:endParaRPr lang="en-IN" sz="1100">
            <a:solidFill>
              <a:schemeClr val="tx1">
                <a:lumMod val="95000"/>
                <a:lumOff val="5000"/>
              </a:schemeClr>
            </a:solidFill>
            <a:latin typeface="+mj-lt"/>
          </a:endParaRPr>
        </a:p>
      </xdr:txBody>
    </xdr:sp>
    <xdr:clientData/>
  </xdr:twoCellAnchor>
  <xdr:twoCellAnchor>
    <xdr:from>
      <xdr:col>27</xdr:col>
      <xdr:colOff>514350</xdr:colOff>
      <xdr:row>0</xdr:row>
      <xdr:rowOff>0</xdr:rowOff>
    </xdr:from>
    <xdr:to>
      <xdr:col>54</xdr:col>
      <xdr:colOff>457201</xdr:colOff>
      <xdr:row>4</xdr:row>
      <xdr:rowOff>0</xdr:rowOff>
    </xdr:to>
    <xdr:sp macro="" textlink="">
      <xdr:nvSpPr>
        <xdr:cNvPr id="3" name="Rectangle 2">
          <a:extLst>
            <a:ext uri="{FF2B5EF4-FFF2-40B4-BE49-F238E27FC236}">
              <a16:creationId xmlns:a16="http://schemas.microsoft.com/office/drawing/2014/main" id="{4FC94F35-BD11-4855-B0AE-B1FABDAB4936}"/>
            </a:ext>
          </a:extLst>
        </xdr:cNvPr>
        <xdr:cNvSpPr/>
      </xdr:nvSpPr>
      <xdr:spPr>
        <a:xfrm>
          <a:off x="17202150" y="0"/>
          <a:ext cx="16402051"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28574</xdr:colOff>
      <xdr:row>4</xdr:row>
      <xdr:rowOff>0</xdr:rowOff>
    </xdr:to>
    <xdr:sp macro="" textlink="">
      <xdr:nvSpPr>
        <xdr:cNvPr id="4" name="Rectangle 3">
          <a:extLst>
            <a:ext uri="{FF2B5EF4-FFF2-40B4-BE49-F238E27FC236}">
              <a16:creationId xmlns:a16="http://schemas.microsoft.com/office/drawing/2014/main" id="{C6CC1DAD-669E-4CE3-BC24-56357C5D6992}"/>
            </a:ext>
          </a:extLst>
        </xdr:cNvPr>
        <xdr:cNvSpPr/>
      </xdr:nvSpPr>
      <xdr:spPr>
        <a:xfrm>
          <a:off x="0" y="0"/>
          <a:ext cx="638174" cy="11144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390525</xdr:colOff>
      <xdr:row>4</xdr:row>
      <xdr:rowOff>152400</xdr:rowOff>
    </xdr:from>
    <xdr:to>
      <xdr:col>9</xdr:col>
      <xdr:colOff>390525</xdr:colOff>
      <xdr:row>15</xdr:row>
      <xdr:rowOff>28575</xdr:rowOff>
    </xdr:to>
    <mc:AlternateContent xmlns:mc="http://schemas.openxmlformats.org/markup-compatibility/2006" xmlns:a14="http://schemas.microsoft.com/office/drawing/2010/main">
      <mc:Choice Requires="a14">
        <xdr:graphicFrame macro="">
          <xdr:nvGraphicFramePr>
            <xdr:cNvPr id="3" name="Geography 1">
              <a:extLst>
                <a:ext uri="{FF2B5EF4-FFF2-40B4-BE49-F238E27FC236}">
                  <a16:creationId xmlns:a16="http://schemas.microsoft.com/office/drawing/2014/main" id="{EAF627A8-CFE1-0DF2-1A59-3D0C7010765D}"/>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5486400" y="914400"/>
              <a:ext cx="1828800" cy="1971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un MR" refreshedDate="45828.879987384258" createdVersion="8" refreshedVersion="8" minRefreshableVersion="3" recordCount="300" xr:uid="{CA71AC75-EB1B-45C4-9755-DA01750C6BB6}">
  <cacheSource type="worksheet">
    <worksheetSource name="data"/>
  </cacheSource>
  <cacheFields count="9">
    <cacheField name="Column1" numFmtId="0">
      <sharedItems containsNonDate="0" containsString="0" containsBlank="1"/>
    </cacheField>
    <cacheField name="Sales Person" numFmtId="0">
      <sharedItems count="10">
        <s v="Gigi Bohling"/>
        <s v="Husein Augar"/>
        <s v="Oby Sorrel"/>
        <s v="Ram Mahesh"/>
        <s v="Barr Faughny"/>
        <s v="Carla Molina"/>
        <s v="Ches Bonnell"/>
        <s v="Curtice Advani"/>
        <s v="Brien Boise"/>
        <s v="Gunar Cockshoot"/>
      </sharedItems>
    </cacheField>
    <cacheField name="Geography" numFmtId="0">
      <sharedItems count="6">
        <s v="Canada"/>
        <s v="India"/>
        <s v="USA"/>
        <s v="UK"/>
        <s v="New Zealand"/>
        <s v="Australia"/>
      </sharedItems>
    </cacheField>
    <cacheField name="Product" numFmtId="0">
      <sharedItems count="22">
        <s v="Mint Chip Choco"/>
        <s v="Orange Choco"/>
        <s v="Caramel Stuffed Bars"/>
        <s v="Raspberry Choco"/>
        <s v="Peanut Butter Cubes"/>
        <s v="Choco Coated Almonds"/>
        <s v="Drinking Coco"/>
        <s v="Organic Choco Syrup"/>
        <s v="Milk Bars"/>
        <s v="70% Dark Bites"/>
        <s v="Almond Choco"/>
        <s v="Eclairs"/>
        <s v="After Nines"/>
        <s v="Manuka Honey Choco"/>
        <s v="Smooth Sliky Salty"/>
        <s v="85% Dark Bars"/>
        <s v="Baker's Choco Chips"/>
        <s v="White Choc"/>
        <s v="Fruit &amp; Nut Bars"/>
        <s v="99% Dark &amp; Pure"/>
        <s v="Spicy Special Slims"/>
        <s v="50% Dark Bites"/>
      </sharedItems>
    </cacheField>
    <cacheField name="Amount" numFmtId="164">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 name="Cost per unit" numFmtId="0">
      <sharedItems containsSemiMixedTypes="0" containsString="0" containsNumber="1" minValue="3.11" maxValue="16.73"/>
    </cacheField>
    <cacheField name="Cost" numFmtId="0">
      <sharedItems containsSemiMixedTypes="0" containsString="0" containsNumber="1" minValue="0" maxValue="8682.8700000000008"/>
    </cacheField>
    <cacheField name="Profit" numFmtId="164">
      <sharedItems containsSemiMixedTypes="0" containsString="0" containsNumber="1" minValue="-7884.8700000000008" maxValue="15841.19"/>
    </cacheField>
  </cacheFields>
  <extLst>
    <ext xmlns:x14="http://schemas.microsoft.com/office/spreadsheetml/2009/9/main" uri="{725AE2AE-9491-48be-B2B4-4EB974FC3084}">
      <x14:pivotCacheDefinition pivotCacheId="12763046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un MR" refreshedDate="45828.880175115744" backgroundQuery="1" createdVersion="8" refreshedVersion="8" minRefreshableVersion="3" recordCount="0" supportSubquery="1" supportAdvancedDrill="1" xr:uid="{6AD1B09C-72DB-4D9B-B84F-BDE5174FB180}">
  <cacheSource type="external" connectionId="1"/>
  <cacheFields count="6">
    <cacheField name="[Measures].[Sum of Amount]" caption="Sum of Amount" numFmtId="0" hierarchy="12" level="32767"/>
    <cacheField name="[Measures].[Sum of Units]" caption="Sum of Units" numFmtId="0" hierarchy="13" level="32767"/>
    <cacheField name="[Measures].[Profit]" caption="Profit" numFmtId="0" hierarchy="19" level="32767"/>
    <cacheField name="[data].[Product].[Product]" caption="Product" numFmtId="0" hierarchy="3" level="1">
      <sharedItems count="21">
        <s v="50% Dark Bites"/>
        <s v="70% Dark Bites"/>
        <s v="85% Dark Bars"/>
        <s v="99% Dark &amp; Pure"/>
        <s v="After Nines"/>
        <s v="Almond Choco"/>
        <s v="Baker's Choco Chips"/>
        <s v="Caramel Stuffed Bars"/>
        <s v="Choco Coated Almonds"/>
        <s v="Eclairs"/>
        <s v="Fruit &amp; Nut Bars"/>
        <s v="Manuka Honey Choco"/>
        <s v="Milk Bars"/>
        <s v="Mint Chip Choco"/>
        <s v="Orange Choco"/>
        <s v="Organic Choco Syrup"/>
        <s v="Peanut Butter Cubes"/>
        <s v="Raspberry Choco"/>
        <s v="Smooth Sliky Salty"/>
        <s v="Spicy Special Slims"/>
        <s v="White Choc"/>
      </sharedItems>
    </cacheField>
    <cacheField name="[Measures].[Profit %]" caption="Profit %" numFmtId="0" hierarchy="20" level="32767"/>
    <cacheField name="[data].[Geography].[Geography]" caption="Geography" numFmtId="0" hierarchy="2" level="1">
      <sharedItems containsSemiMixedTypes="0" containsNonDate="0" containsString="0"/>
    </cacheField>
  </cacheFields>
  <cacheHierarchies count="25">
    <cacheHierarchy uniqueName="[data].[Column1]" caption="Column1" attribute="1" defaultMemberUniqueName="[data].[Column1].[All]" allUniqueName="[data].[Column1].[All]" dimensionUniqueName="[data]" displayFolder="" count="0" memberValueDatatype="130" unbalanced="0"/>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5"/>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3"/>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8].[Product]" caption="Product" attribute="1" defaultMemberUniqueName="[products8].[Product].[All]" allUniqueName="[products8].[Product].[All]" dimensionUniqueName="[products8]" displayFolder="" count="0" memberValueDatatype="130" unbalanced="0"/>
    <cacheHierarchy uniqueName="[products8].[Cost per unit]" caption="Cost per unit" attribute="1" defaultMemberUniqueName="[products8].[Cost per unit].[All]" allUniqueName="[products8].[Cost per unit].[All]" dimensionUniqueName="[products8]" displayFolder="" count="0" memberValueDatatype="5" unbalanced="0"/>
    <cacheHierarchy uniqueName="[Measures].[Sum of Amount]" caption="Sum of Amount" measure="1" displayFolder="" measureGroup="data" count="0" oneField="1">
      <fieldsUsage count="1">
        <fieldUsage x="0"/>
      </fieldsUsage>
      <extLst>
        <ext xmlns:x15="http://schemas.microsoft.com/office/spreadsheetml/2010/11/main" uri="{B97F6D7D-B522-45F9-BDA1-12C45D357490}">
          <x15:cacheHierarchy aggregatedColumn="4"/>
        </ext>
      </extLst>
    </cacheHierarchy>
    <cacheHierarchy uniqueName="[Measures].[Sum of Units]" caption="Sum of Units" measure="1" displayFolder="" measureGroup="data" count="0" oneField="1">
      <fieldsUsage count="1">
        <fieldUsage x="1"/>
      </fieldsUsage>
      <extLst>
        <ext xmlns:x15="http://schemas.microsoft.com/office/spreadsheetml/2010/11/main" uri="{B97F6D7D-B522-45F9-BDA1-12C45D357490}">
          <x15:cacheHierarchy aggregatedColumn="5"/>
        </ext>
      </extLst>
    </cacheHierarchy>
    <cacheHierarchy uniqueName="[Measures].[Sum of Cost per unit]" caption="Sum of Cost per unit" measure="1" displayFolder="" measureGroup="products" count="0">
      <extLst>
        <ext xmlns:x15="http://schemas.microsoft.com/office/spreadsheetml/2010/11/main" uri="{B97F6D7D-B522-45F9-BDA1-12C45D357490}">
          <x15:cacheHierarchy aggregatedColumn="9"/>
        </ext>
      </extLst>
    </cacheHierarchy>
    <cacheHierarchy uniqueName="[Measures].[Sum of Cost per unit 2]" caption="Sum of Cost per unit 2" measure="1" displayFolder="" measureGroup="products8" count="0">
      <extLst>
        <ext xmlns:x15="http://schemas.microsoft.com/office/spreadsheetml/2010/11/main" uri="{B97F6D7D-B522-45F9-BDA1-12C45D357490}">
          <x15:cacheHierarchy aggregatedColumn="1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data" count="0">
      <extLst>
        <ext xmlns:x15="http://schemas.microsoft.com/office/spreadsheetml/2010/11/main" uri="{B97F6D7D-B522-45F9-BDA1-12C45D357490}">
          <x15:cacheHierarchy aggregatedColumn="3"/>
        </ext>
      </extLst>
    </cacheHierarchy>
    <cacheHierarchy uniqueName="[Measures].[Sales per unit]" caption="Sales per unit" measure="1" displayFolder="" measureGroup="data" count="0"/>
    <cacheHierarchy uniqueName="[Measures].[Profit]" caption="Profit" measure="1" displayFolder="" measureGroup="data" count="0" oneField="1">
      <fieldsUsage count="1">
        <fieldUsage x="2"/>
      </fieldsUsage>
    </cacheHierarchy>
    <cacheHierarchy uniqueName="[Measures].[Profit %]" caption="Profit %"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XL_Count products]" caption="__XL_Count products" measure="1" displayFolder="" measureGroup="products" count="0" hidden="1"/>
    <cacheHierarchy uniqueName="[Measures].[__XL_Count products8]" caption="__XL_Count products8" measure="1" displayFolder="" measureGroup="products8" count="0" hidden="1"/>
    <cacheHierarchy uniqueName="[Measures].[__No measures defined]" caption="__No measures defined" measure="1" displayFolder="" count="0" hidden="1"/>
  </cacheHierarchies>
  <kpis count="0"/>
  <dimensions count="4">
    <dimension name="data" uniqueName="[data]" caption="data"/>
    <dimension measure="1" name="Measures" uniqueName="[Measures]" caption="Measures"/>
    <dimension name="products" uniqueName="[products]" caption="products"/>
    <dimension name="products8" uniqueName="[products8]" caption="products8"/>
  </dimensions>
  <measureGroups count="3">
    <measureGroup name="data" caption="data"/>
    <measureGroup name="products" caption="products"/>
    <measureGroup name="products8" caption="products8"/>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un MR" refreshedDate="45828.880176620369" backgroundQuery="1" createdVersion="8" refreshedVersion="8" minRefreshableVersion="3" recordCount="0" supportSubquery="1" supportAdvancedDrill="1" xr:uid="{2216D6D0-12FC-4BDE-B0DA-81D65E64D998}">
  <cacheSource type="external" connectionId="1"/>
  <cacheFields count="2">
    <cacheField name="[data].[Product].[Product]" caption="Product" numFmtId="0" hierarchy="3" level="1">
      <sharedItems count="5">
        <s v="85% Dark Bars"/>
        <s v="After Nines"/>
        <s v="Baker's Choco Chips"/>
        <s v="Peanut Butter Cubes"/>
        <s v="Raspberry Choco"/>
      </sharedItems>
    </cacheField>
    <cacheField name="[Measures].[Sales per unit]" caption="Sales per unit" numFmtId="0" hierarchy="18" level="32767"/>
  </cacheFields>
  <cacheHierarchies count="25">
    <cacheHierarchy uniqueName="[data].[Column1]" caption="Column1" attribute="1" defaultMemberUniqueName="[data].[Column1].[All]" allUniqueName="[data].[Column1].[All]" dimensionUniqueName="[data]" displayFolder="" count="0" memberValueDatatype="130" unbalanced="0"/>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8].[Product]" caption="Product" attribute="1" defaultMemberUniqueName="[products8].[Product].[All]" allUniqueName="[products8].[Product].[All]" dimensionUniqueName="[products8]" displayFolder="" count="0" memberValueDatatype="130" unbalanced="0"/>
    <cacheHierarchy uniqueName="[products8].[Cost per unit]" caption="Cost per unit" attribute="1" defaultMemberUniqueName="[products8].[Cost per unit].[All]" allUniqueName="[products8].[Cost per unit].[All]" dimensionUniqueName="[products8]"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4"/>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5"/>
        </ext>
      </extLst>
    </cacheHierarchy>
    <cacheHierarchy uniqueName="[Measures].[Sum of Cost per unit]" caption="Sum of Cost per unit" measure="1" displayFolder="" measureGroup="products" count="0">
      <extLst>
        <ext xmlns:x15="http://schemas.microsoft.com/office/spreadsheetml/2010/11/main" uri="{B97F6D7D-B522-45F9-BDA1-12C45D357490}">
          <x15:cacheHierarchy aggregatedColumn="9"/>
        </ext>
      </extLst>
    </cacheHierarchy>
    <cacheHierarchy uniqueName="[Measures].[Sum of Cost per unit 2]" caption="Sum of Cost per unit 2" measure="1" displayFolder="" measureGroup="products8" count="0">
      <extLst>
        <ext xmlns:x15="http://schemas.microsoft.com/office/spreadsheetml/2010/11/main" uri="{B97F6D7D-B522-45F9-BDA1-12C45D357490}">
          <x15:cacheHierarchy aggregatedColumn="1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data" count="0">
      <extLst>
        <ext xmlns:x15="http://schemas.microsoft.com/office/spreadsheetml/2010/11/main" uri="{B97F6D7D-B522-45F9-BDA1-12C45D357490}">
          <x15:cacheHierarchy aggregatedColumn="3"/>
        </ext>
      </extLst>
    </cacheHierarchy>
    <cacheHierarchy uniqueName="[Measures].[Sales per unit]" caption="Sales per unit" measure="1" displayFolder="" measureGroup="data" count="0" oneField="1">
      <fieldsUsage count="1">
        <fieldUsage x="1"/>
      </fieldsUsage>
    </cacheHierarchy>
    <cacheHierarchy uniqueName="[Measures].[Profit]" caption="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XL_Count products]" caption="__XL_Count products" measure="1" displayFolder="" measureGroup="products" count="0" hidden="1"/>
    <cacheHierarchy uniqueName="[Measures].[__XL_Count products8]" caption="__XL_Count products8" measure="1" displayFolder="" measureGroup="products8" count="0" hidden="1"/>
    <cacheHierarchy uniqueName="[Measures].[__No measures defined]" caption="__No measures defined" measure="1" displayFolder="" count="0" hidden="1"/>
  </cacheHierarchies>
  <kpis count="0"/>
  <dimensions count="4">
    <dimension name="data" uniqueName="[data]" caption="data"/>
    <dimension measure="1" name="Measures" uniqueName="[Measures]" caption="Measures"/>
    <dimension name="products" uniqueName="[products]" caption="products"/>
    <dimension name="products8" uniqueName="[products8]" caption="products8"/>
  </dimensions>
  <measureGroups count="3">
    <measureGroup name="data" caption="data"/>
    <measureGroup name="products" caption="products"/>
    <measureGroup name="products8" caption="products8"/>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un MR" refreshedDate="45828.880178125" backgroundQuery="1" createdVersion="8" refreshedVersion="8" minRefreshableVersion="3" recordCount="0" supportSubquery="1" supportAdvancedDrill="1" xr:uid="{02BA271A-60EC-4443-AD06-EBAD2BDF1826}">
  <cacheSource type="external" connectionId="1"/>
  <cacheFields count="4">
    <cacheField name="[data].[Product].[Product]" caption="Product" numFmtId="0" hierarchy="3"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Profit]" caption="Profit" numFmtId="0" hierarchy="19" level="32767"/>
    <cacheField name="[data].[Geography].[Geography]" caption="Geography" numFmtId="0" hierarchy="2" level="1">
      <sharedItems containsSemiMixedTypes="0" containsNonDate="0" containsString="0"/>
    </cacheField>
    <cacheField name="[data].[Sales Person].[Sales Person]" caption="Sales Person" numFmtId="0" hierarchy="1" level="1">
      <sharedItems containsSemiMixedTypes="0" containsNonDate="0" containsString="0"/>
    </cacheField>
  </cacheFields>
  <cacheHierarchies count="25">
    <cacheHierarchy uniqueName="[data].[Column1]" caption="Column1" attribute="1" defaultMemberUniqueName="[data].[Column1].[All]" allUniqueName="[data].[Column1].[All]" dimensionUniqueName="[data]" displayFolder="" count="0" memberValueDatatype="130" unbalanced="0"/>
    <cacheHierarchy uniqueName="[data].[Sales Person]" caption="Sales Person" attribute="1" defaultMemberUniqueName="[data].[Sales Person].[All]" allUniqueName="[data].[Sales Person].[All]" dimensionUniqueName="[data]" displayFolder="" count="2" memberValueDatatype="130" unbalanced="0">
      <fieldsUsage count="2">
        <fieldUsage x="-1"/>
        <fieldUsage x="3"/>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8].[Product]" caption="Product" attribute="1" defaultMemberUniqueName="[products8].[Product].[All]" allUniqueName="[products8].[Product].[All]" dimensionUniqueName="[products8]" displayFolder="" count="0" memberValueDatatype="130" unbalanced="0"/>
    <cacheHierarchy uniqueName="[products8].[Cost per unit]" caption="Cost per unit" attribute="1" defaultMemberUniqueName="[products8].[Cost per unit].[All]" allUniqueName="[products8].[Cost per unit].[All]" dimensionUniqueName="[products8]"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4"/>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5"/>
        </ext>
      </extLst>
    </cacheHierarchy>
    <cacheHierarchy uniqueName="[Measures].[Sum of Cost per unit]" caption="Sum of Cost per unit" measure="1" displayFolder="" measureGroup="products" count="0">
      <extLst>
        <ext xmlns:x15="http://schemas.microsoft.com/office/spreadsheetml/2010/11/main" uri="{B97F6D7D-B522-45F9-BDA1-12C45D357490}">
          <x15:cacheHierarchy aggregatedColumn="9"/>
        </ext>
      </extLst>
    </cacheHierarchy>
    <cacheHierarchy uniqueName="[Measures].[Sum of Cost per unit 2]" caption="Sum of Cost per unit 2" measure="1" displayFolder="" measureGroup="products8" count="0">
      <extLst>
        <ext xmlns:x15="http://schemas.microsoft.com/office/spreadsheetml/2010/11/main" uri="{B97F6D7D-B522-45F9-BDA1-12C45D357490}">
          <x15:cacheHierarchy aggregatedColumn="1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data" count="0">
      <extLst>
        <ext xmlns:x15="http://schemas.microsoft.com/office/spreadsheetml/2010/11/main" uri="{B97F6D7D-B522-45F9-BDA1-12C45D357490}">
          <x15:cacheHierarchy aggregatedColumn="3"/>
        </ext>
      </extLst>
    </cacheHierarchy>
    <cacheHierarchy uniqueName="[Measures].[Sales per unit]" caption="Sales per unit" measure="1" displayFolder="" measureGroup="data" count="0"/>
    <cacheHierarchy uniqueName="[Measures].[Profit]" caption="Profit" measure="1" displayFolder="" measureGroup="data" count="0" oneField="1">
      <fieldsUsage count="1">
        <fieldUsage x="1"/>
      </fieldsUsage>
    </cacheHierarchy>
    <cacheHierarchy uniqueName="[Measures].[Profit %]" caption="Profit %" measure="1" displayFolder="" measureGroup="data" count="0"/>
    <cacheHierarchy uniqueName="[Measures].[__XL_Count data]" caption="__XL_Count data" measure="1" displayFolder="" measureGroup="data" count="0" hidden="1"/>
    <cacheHierarchy uniqueName="[Measures].[__XL_Count products]" caption="__XL_Count products" measure="1" displayFolder="" measureGroup="products" count="0" hidden="1"/>
    <cacheHierarchy uniqueName="[Measures].[__XL_Count products8]" caption="__XL_Count products8" measure="1" displayFolder="" measureGroup="products8" count="0" hidden="1"/>
    <cacheHierarchy uniqueName="[Measures].[__No measures defined]" caption="__No measures defined" measure="1" displayFolder="" count="0" hidden="1"/>
  </cacheHierarchies>
  <kpis count="0"/>
  <dimensions count="4">
    <dimension name="data" uniqueName="[data]" caption="data"/>
    <dimension measure="1" name="Measures" uniqueName="[Measures]" caption="Measures"/>
    <dimension name="products" uniqueName="[products]" caption="products"/>
    <dimension name="products8" uniqueName="[products8]" caption="products8"/>
  </dimensions>
  <measureGroups count="3">
    <measureGroup name="data" caption="data"/>
    <measureGroup name="products" caption="products"/>
    <measureGroup name="products8" caption="products8"/>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un MR" refreshedDate="45828.880174189813" backgroundQuery="1" createdVersion="3" refreshedVersion="8" minRefreshableVersion="3" recordCount="0" supportSubquery="1" supportAdvancedDrill="1" xr:uid="{E5A5E0C6-B286-407B-97CF-9B2255DF4FD6}">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data].[Column1]" caption="Column1" attribute="1" defaultMemberUniqueName="[data].[Column1].[All]" allUniqueName="[data].[Column1].[All]" dimensionUniqueName="[data]" displayFolder="" count="0" memberValueDatatype="130" unbalanced="0"/>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8].[Product]" caption="Product" attribute="1" defaultMemberUniqueName="[products8].[Product].[All]" allUniqueName="[products8].[Product].[All]" dimensionUniqueName="[products8]" displayFolder="" count="0" memberValueDatatype="130" unbalanced="0"/>
    <cacheHierarchy uniqueName="[products8].[Cost per unit]" caption="Cost per unit" attribute="1" defaultMemberUniqueName="[products8].[Cost per unit].[All]" allUniqueName="[products8].[Cost per unit].[All]" dimensionUniqueName="[products8]"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4"/>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5"/>
        </ext>
      </extLst>
    </cacheHierarchy>
    <cacheHierarchy uniqueName="[Measures].[Sum of Cost per unit]" caption="Sum of Cost per unit" measure="1" displayFolder="" measureGroup="products" count="0">
      <extLst>
        <ext xmlns:x15="http://schemas.microsoft.com/office/spreadsheetml/2010/11/main" uri="{B97F6D7D-B522-45F9-BDA1-12C45D357490}">
          <x15:cacheHierarchy aggregatedColumn="9"/>
        </ext>
      </extLst>
    </cacheHierarchy>
    <cacheHierarchy uniqueName="[Measures].[Sum of Cost per unit 2]" caption="Sum of Cost per unit 2" measure="1" displayFolder="" measureGroup="products8" count="0">
      <extLst>
        <ext xmlns:x15="http://schemas.microsoft.com/office/spreadsheetml/2010/11/main" uri="{B97F6D7D-B522-45F9-BDA1-12C45D357490}">
          <x15:cacheHierarchy aggregatedColumn="1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data" count="0">
      <extLst>
        <ext xmlns:x15="http://schemas.microsoft.com/office/spreadsheetml/2010/11/main" uri="{B97F6D7D-B522-45F9-BDA1-12C45D357490}">
          <x15:cacheHierarchy aggregatedColumn="3"/>
        </ext>
      </extLst>
    </cacheHierarchy>
    <cacheHierarchy uniqueName="[Measures].[Sales per unit]" caption="Sales per unit" measure="1" displayFolder="" measureGroup="data" count="0"/>
    <cacheHierarchy uniqueName="[Measures].[Profit]" caption="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XL_Count products]" caption="__XL_Count products" measure="1" displayFolder="" measureGroup="products" count="0" hidden="1"/>
    <cacheHierarchy uniqueName="[Measures].[__XL_Count products8]" caption="__XL_Count products8" measure="1" displayFolder="" measureGroup="products8"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7601157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un MR" refreshedDate="45828.880177314815" backgroundQuery="1" createdVersion="3" refreshedVersion="8" minRefreshableVersion="3" recordCount="0" supportSubquery="1" supportAdvancedDrill="1" xr:uid="{9F43998E-6C32-460D-9B4B-CFC1C6D3DB87}">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data].[Column1]" caption="Column1" attribute="1" defaultMemberUniqueName="[data].[Column1].[All]" allUniqueName="[data].[Column1].[All]" dimensionUniqueName="[data]" displayFolder="" count="0" memberValueDatatype="130" unbalanced="0"/>
    <cacheHierarchy uniqueName="[data].[Sales Person]" caption="Sales Person" attribute="1" defaultMemberUniqueName="[data].[Sales Person].[All]" allUniqueName="[data].[Sales Person].[All]" dimensionUniqueName="[data]" displayFolder="" count="2"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5" unbalanced="0"/>
    <cacheHierarchy uniqueName="[products8].[Product]" caption="Product" attribute="1" defaultMemberUniqueName="[products8].[Product].[All]" allUniqueName="[products8].[Product].[All]" dimensionUniqueName="[products8]" displayFolder="" count="0" memberValueDatatype="130" unbalanced="0"/>
    <cacheHierarchy uniqueName="[products8].[Cost per unit]" caption="Cost per unit" attribute="1" defaultMemberUniqueName="[products8].[Cost per unit].[All]" allUniqueName="[products8].[Cost per unit].[All]" dimensionUniqueName="[products8]"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4"/>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5"/>
        </ext>
      </extLst>
    </cacheHierarchy>
    <cacheHierarchy uniqueName="[Measures].[Sum of Cost per unit]" caption="Sum of Cost per unit" measure="1" displayFolder="" measureGroup="products" count="0">
      <extLst>
        <ext xmlns:x15="http://schemas.microsoft.com/office/spreadsheetml/2010/11/main" uri="{B97F6D7D-B522-45F9-BDA1-12C45D357490}">
          <x15:cacheHierarchy aggregatedColumn="9"/>
        </ext>
      </extLst>
    </cacheHierarchy>
    <cacheHierarchy uniqueName="[Measures].[Sum of Cost per unit 2]" caption="Sum of Cost per unit 2" measure="1" displayFolder="" measureGroup="products8" count="0">
      <extLst>
        <ext xmlns:x15="http://schemas.microsoft.com/office/spreadsheetml/2010/11/main" uri="{B97F6D7D-B522-45F9-BDA1-12C45D357490}">
          <x15:cacheHierarchy aggregatedColumn="1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data" count="0">
      <extLst>
        <ext xmlns:x15="http://schemas.microsoft.com/office/spreadsheetml/2010/11/main" uri="{B97F6D7D-B522-45F9-BDA1-12C45D357490}">
          <x15:cacheHierarchy aggregatedColumn="3"/>
        </ext>
      </extLst>
    </cacheHierarchy>
    <cacheHierarchy uniqueName="[Measures].[Sales per unit]" caption="Sales per unit" measure="1" displayFolder="" measureGroup="data" count="0"/>
    <cacheHierarchy uniqueName="[Measures].[Profit]" caption="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XL_Count products]" caption="__XL_Count products" measure="1" displayFolder="" measureGroup="products" count="0" hidden="1"/>
    <cacheHierarchy uniqueName="[Measures].[__XL_Count products8]" caption="__XL_Count products8" measure="1" displayFolder="" measureGroup="products8"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597647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m/>
    <x v="0"/>
    <x v="0"/>
    <x v="0"/>
    <n v="16184"/>
    <n v="39"/>
    <n v="8.7899999999999991"/>
    <n v="342.80999999999995"/>
    <n v="15841.19"/>
  </r>
  <r>
    <m/>
    <x v="0"/>
    <x v="1"/>
    <x v="1"/>
    <n v="15610"/>
    <n v="339"/>
    <n v="10.62"/>
    <n v="3600.18"/>
    <n v="12009.82"/>
  </r>
  <r>
    <m/>
    <x v="1"/>
    <x v="1"/>
    <x v="2"/>
    <n v="14329"/>
    <n v="150"/>
    <n v="10.38"/>
    <n v="1557.0000000000002"/>
    <n v="12772"/>
  </r>
  <r>
    <m/>
    <x v="0"/>
    <x v="2"/>
    <x v="3"/>
    <n v="13391"/>
    <n v="201"/>
    <n v="11.73"/>
    <n v="2357.73"/>
    <n v="11033.27"/>
  </r>
  <r>
    <m/>
    <x v="2"/>
    <x v="3"/>
    <x v="4"/>
    <n v="12950"/>
    <n v="30"/>
    <n v="12.37"/>
    <n v="371.09999999999997"/>
    <n v="12578.9"/>
  </r>
  <r>
    <m/>
    <x v="3"/>
    <x v="2"/>
    <x v="5"/>
    <n v="12348"/>
    <n v="234"/>
    <n v="8.65"/>
    <n v="2024.1000000000001"/>
    <n v="10323.9"/>
  </r>
  <r>
    <m/>
    <x v="4"/>
    <x v="4"/>
    <x v="6"/>
    <n v="11571"/>
    <n v="138"/>
    <n v="6.47"/>
    <n v="892.86"/>
    <n v="10678.14"/>
  </r>
  <r>
    <m/>
    <x v="1"/>
    <x v="0"/>
    <x v="7"/>
    <n v="11522"/>
    <n v="204"/>
    <n v="16.73"/>
    <n v="3412.92"/>
    <n v="8109.08"/>
  </r>
  <r>
    <m/>
    <x v="4"/>
    <x v="0"/>
    <x v="0"/>
    <n v="11417"/>
    <n v="21"/>
    <n v="8.7899999999999991"/>
    <n v="184.58999999999997"/>
    <n v="11232.41"/>
  </r>
  <r>
    <m/>
    <x v="5"/>
    <x v="0"/>
    <x v="8"/>
    <n v="10311"/>
    <n v="231"/>
    <n v="9.33"/>
    <n v="2155.23"/>
    <n v="8155.77"/>
  </r>
  <r>
    <m/>
    <x v="5"/>
    <x v="0"/>
    <x v="5"/>
    <n v="10304"/>
    <n v="84"/>
    <n v="8.65"/>
    <n v="726.6"/>
    <n v="9577.4"/>
  </r>
  <r>
    <m/>
    <x v="6"/>
    <x v="5"/>
    <x v="9"/>
    <n v="10129"/>
    <n v="312"/>
    <n v="14.49"/>
    <n v="4520.88"/>
    <n v="5608.12"/>
  </r>
  <r>
    <m/>
    <x v="7"/>
    <x v="0"/>
    <x v="10"/>
    <n v="10073"/>
    <n v="120"/>
    <n v="11.88"/>
    <n v="1425.6000000000001"/>
    <n v="8647.4"/>
  </r>
  <r>
    <m/>
    <x v="4"/>
    <x v="4"/>
    <x v="11"/>
    <n v="9926"/>
    <n v="201"/>
    <n v="3.11"/>
    <n v="625.11"/>
    <n v="9300.89"/>
  </r>
  <r>
    <m/>
    <x v="6"/>
    <x v="4"/>
    <x v="12"/>
    <n v="9835"/>
    <n v="207"/>
    <n v="9.77"/>
    <n v="2022.3899999999999"/>
    <n v="7812.6100000000006"/>
  </r>
  <r>
    <m/>
    <x v="3"/>
    <x v="0"/>
    <x v="4"/>
    <n v="9772"/>
    <n v="90"/>
    <n v="12.37"/>
    <n v="1113.3"/>
    <n v="8658.7000000000007"/>
  </r>
  <r>
    <m/>
    <x v="8"/>
    <x v="4"/>
    <x v="3"/>
    <n v="9709"/>
    <n v="30"/>
    <n v="11.73"/>
    <n v="351.90000000000003"/>
    <n v="9357.1"/>
  </r>
  <r>
    <m/>
    <x v="8"/>
    <x v="3"/>
    <x v="6"/>
    <n v="9660"/>
    <n v="27"/>
    <n v="6.47"/>
    <n v="174.69"/>
    <n v="9485.31"/>
  </r>
  <r>
    <m/>
    <x v="5"/>
    <x v="0"/>
    <x v="6"/>
    <n v="9632"/>
    <n v="288"/>
    <n v="6.47"/>
    <n v="1863.36"/>
    <n v="7768.64"/>
  </r>
  <r>
    <m/>
    <x v="1"/>
    <x v="5"/>
    <x v="4"/>
    <n v="9506"/>
    <n v="87"/>
    <n v="12.37"/>
    <n v="1076.1899999999998"/>
    <n v="8429.81"/>
  </r>
  <r>
    <m/>
    <x v="4"/>
    <x v="3"/>
    <x v="1"/>
    <n v="9443"/>
    <n v="162"/>
    <n v="10.62"/>
    <n v="1720.4399999999998"/>
    <n v="7722.56"/>
  </r>
  <r>
    <m/>
    <x v="9"/>
    <x v="0"/>
    <x v="0"/>
    <n v="9198"/>
    <n v="36"/>
    <n v="8.7899999999999991"/>
    <n v="316.43999999999994"/>
    <n v="8881.56"/>
  </r>
  <r>
    <m/>
    <x v="1"/>
    <x v="0"/>
    <x v="9"/>
    <n v="9051"/>
    <n v="57"/>
    <n v="14.49"/>
    <n v="825.93000000000006"/>
    <n v="8225.07"/>
  </r>
  <r>
    <m/>
    <x v="3"/>
    <x v="4"/>
    <x v="13"/>
    <n v="9002"/>
    <n v="72"/>
    <n v="7.16"/>
    <n v="515.52"/>
    <n v="8486.48"/>
  </r>
  <r>
    <m/>
    <x v="8"/>
    <x v="3"/>
    <x v="14"/>
    <n v="8890"/>
    <n v="210"/>
    <n v="5.79"/>
    <n v="1215.9000000000001"/>
    <n v="7674.1"/>
  </r>
  <r>
    <m/>
    <x v="3"/>
    <x v="2"/>
    <x v="4"/>
    <n v="8869"/>
    <n v="432"/>
    <n v="12.37"/>
    <n v="5343.8399999999992"/>
    <n v="3525.1600000000008"/>
  </r>
  <r>
    <m/>
    <x v="6"/>
    <x v="1"/>
    <x v="15"/>
    <n v="8862"/>
    <n v="189"/>
    <n v="4.97"/>
    <n v="939.32999999999993"/>
    <n v="7922.67"/>
  </r>
  <r>
    <m/>
    <x v="9"/>
    <x v="5"/>
    <x v="16"/>
    <n v="8841"/>
    <n v="303"/>
    <n v="5.6"/>
    <n v="1696.8"/>
    <n v="7144.2"/>
  </r>
  <r>
    <m/>
    <x v="0"/>
    <x v="4"/>
    <x v="17"/>
    <n v="8813"/>
    <n v="21"/>
    <n v="13.15"/>
    <n v="276.15000000000003"/>
    <n v="8536.85"/>
  </r>
  <r>
    <m/>
    <x v="1"/>
    <x v="1"/>
    <x v="1"/>
    <n v="8463"/>
    <n v="492"/>
    <n v="10.62"/>
    <n v="5225.04"/>
    <n v="3237.96"/>
  </r>
  <r>
    <m/>
    <x v="6"/>
    <x v="0"/>
    <x v="12"/>
    <n v="8435"/>
    <n v="42"/>
    <n v="9.77"/>
    <n v="410.34"/>
    <n v="8024.66"/>
  </r>
  <r>
    <m/>
    <x v="4"/>
    <x v="0"/>
    <x v="13"/>
    <n v="8211"/>
    <n v="75"/>
    <n v="7.16"/>
    <n v="537"/>
    <n v="7674"/>
  </r>
  <r>
    <m/>
    <x v="1"/>
    <x v="1"/>
    <x v="18"/>
    <n v="8155"/>
    <n v="90"/>
    <n v="6.49"/>
    <n v="584.1"/>
    <n v="7570.9"/>
  </r>
  <r>
    <m/>
    <x v="7"/>
    <x v="1"/>
    <x v="16"/>
    <n v="8008"/>
    <n v="456"/>
    <n v="5.6"/>
    <n v="2553.6"/>
    <n v="5454.4"/>
  </r>
  <r>
    <m/>
    <x v="5"/>
    <x v="1"/>
    <x v="4"/>
    <n v="7847"/>
    <n v="174"/>
    <n v="12.37"/>
    <n v="2152.3799999999997"/>
    <n v="5694.6200000000008"/>
  </r>
  <r>
    <m/>
    <x v="1"/>
    <x v="2"/>
    <x v="3"/>
    <n v="7833"/>
    <n v="243"/>
    <n v="11.73"/>
    <n v="2850.3900000000003"/>
    <n v="4982.6099999999997"/>
  </r>
  <r>
    <m/>
    <x v="4"/>
    <x v="3"/>
    <x v="7"/>
    <n v="7812"/>
    <n v="81"/>
    <n v="16.73"/>
    <n v="1355.13"/>
    <n v="6456.87"/>
  </r>
  <r>
    <m/>
    <x v="9"/>
    <x v="1"/>
    <x v="5"/>
    <n v="7777"/>
    <n v="504"/>
    <n v="8.65"/>
    <n v="4359.6000000000004"/>
    <n v="3417.3999999999996"/>
  </r>
  <r>
    <m/>
    <x v="6"/>
    <x v="1"/>
    <x v="11"/>
    <n v="7777"/>
    <n v="39"/>
    <n v="3.11"/>
    <n v="121.28999999999999"/>
    <n v="7655.71"/>
  </r>
  <r>
    <m/>
    <x v="7"/>
    <x v="4"/>
    <x v="14"/>
    <n v="7693"/>
    <n v="87"/>
    <n v="5.79"/>
    <n v="503.73"/>
    <n v="7189.27"/>
  </r>
  <r>
    <m/>
    <x v="3"/>
    <x v="4"/>
    <x v="19"/>
    <n v="7693"/>
    <n v="21"/>
    <n v="7.64"/>
    <n v="160.44"/>
    <n v="7532.56"/>
  </r>
  <r>
    <m/>
    <x v="4"/>
    <x v="3"/>
    <x v="20"/>
    <n v="7651"/>
    <n v="213"/>
    <n v="9"/>
    <n v="1917"/>
    <n v="5734"/>
  </r>
  <r>
    <m/>
    <x v="4"/>
    <x v="1"/>
    <x v="19"/>
    <n v="7511"/>
    <n v="120"/>
    <n v="7.64"/>
    <n v="916.8"/>
    <n v="6594.2"/>
  </r>
  <r>
    <m/>
    <x v="0"/>
    <x v="5"/>
    <x v="17"/>
    <n v="7483"/>
    <n v="45"/>
    <n v="13.15"/>
    <n v="591.75"/>
    <n v="6891.25"/>
  </r>
  <r>
    <m/>
    <x v="5"/>
    <x v="2"/>
    <x v="2"/>
    <n v="7455"/>
    <n v="216"/>
    <n v="10.38"/>
    <n v="2242.0800000000004"/>
    <n v="5212.92"/>
  </r>
  <r>
    <m/>
    <x v="7"/>
    <x v="5"/>
    <x v="20"/>
    <n v="7322"/>
    <n v="36"/>
    <n v="9"/>
    <n v="324"/>
    <n v="6998"/>
  </r>
  <r>
    <m/>
    <x v="9"/>
    <x v="4"/>
    <x v="2"/>
    <n v="7308"/>
    <n v="327"/>
    <n v="10.38"/>
    <n v="3394.26"/>
    <n v="3913.74"/>
  </r>
  <r>
    <m/>
    <x v="0"/>
    <x v="1"/>
    <x v="3"/>
    <n v="7280"/>
    <n v="201"/>
    <n v="11.73"/>
    <n v="2357.73"/>
    <n v="4922.2700000000004"/>
  </r>
  <r>
    <m/>
    <x v="1"/>
    <x v="4"/>
    <x v="1"/>
    <n v="7273"/>
    <n v="96"/>
    <n v="10.62"/>
    <n v="1019.52"/>
    <n v="6253.48"/>
  </r>
  <r>
    <m/>
    <x v="9"/>
    <x v="1"/>
    <x v="21"/>
    <n v="7259"/>
    <n v="276"/>
    <n v="11.7"/>
    <n v="3229.2"/>
    <n v="4029.8"/>
  </r>
  <r>
    <m/>
    <x v="0"/>
    <x v="5"/>
    <x v="8"/>
    <n v="7189"/>
    <n v="54"/>
    <n v="9.33"/>
    <n v="503.82"/>
    <n v="6685.18"/>
  </r>
  <r>
    <m/>
    <x v="8"/>
    <x v="3"/>
    <x v="9"/>
    <n v="7021"/>
    <n v="183"/>
    <n v="14.49"/>
    <n v="2651.67"/>
    <n v="4369.33"/>
  </r>
  <r>
    <m/>
    <x v="0"/>
    <x v="1"/>
    <x v="7"/>
    <n v="6986"/>
    <n v="21"/>
    <n v="16.73"/>
    <n v="351.33"/>
    <n v="6634.67"/>
  </r>
  <r>
    <m/>
    <x v="0"/>
    <x v="3"/>
    <x v="12"/>
    <n v="6909"/>
    <n v="81"/>
    <n v="9.77"/>
    <n v="791.37"/>
    <n v="6117.63"/>
  </r>
  <r>
    <m/>
    <x v="2"/>
    <x v="5"/>
    <x v="10"/>
    <n v="6860"/>
    <n v="126"/>
    <n v="11.88"/>
    <n v="1496.88"/>
    <n v="5363.12"/>
  </r>
  <r>
    <m/>
    <x v="3"/>
    <x v="2"/>
    <x v="12"/>
    <n v="6853"/>
    <n v="372"/>
    <n v="9.77"/>
    <n v="3634.44"/>
    <n v="3218.56"/>
  </r>
  <r>
    <m/>
    <x v="1"/>
    <x v="1"/>
    <x v="20"/>
    <n v="6832"/>
    <n v="27"/>
    <n v="9"/>
    <n v="243"/>
    <n v="6589"/>
  </r>
  <r>
    <m/>
    <x v="7"/>
    <x v="4"/>
    <x v="16"/>
    <n v="6818"/>
    <n v="6"/>
    <n v="5.6"/>
    <n v="33.599999999999994"/>
    <n v="6784.4"/>
  </r>
  <r>
    <m/>
    <x v="6"/>
    <x v="2"/>
    <x v="9"/>
    <n v="6755"/>
    <n v="252"/>
    <n v="14.49"/>
    <n v="3651.48"/>
    <n v="3103.52"/>
  </r>
  <r>
    <m/>
    <x v="3"/>
    <x v="1"/>
    <x v="16"/>
    <n v="6748"/>
    <n v="48"/>
    <n v="5.6"/>
    <n v="268.79999999999995"/>
    <n v="6479.2"/>
  </r>
  <r>
    <m/>
    <x v="7"/>
    <x v="1"/>
    <x v="5"/>
    <n v="6734"/>
    <n v="123"/>
    <n v="8.65"/>
    <n v="1063.95"/>
    <n v="5670.05"/>
  </r>
  <r>
    <m/>
    <x v="8"/>
    <x v="2"/>
    <x v="5"/>
    <n v="6706"/>
    <n v="459"/>
    <n v="8.65"/>
    <n v="3970.3500000000004"/>
    <n v="2735.6499999999996"/>
  </r>
  <r>
    <m/>
    <x v="2"/>
    <x v="0"/>
    <x v="5"/>
    <n v="6657"/>
    <n v="303"/>
    <n v="8.65"/>
    <n v="2620.9500000000003"/>
    <n v="4036.0499999999997"/>
  </r>
  <r>
    <m/>
    <x v="9"/>
    <x v="2"/>
    <x v="3"/>
    <n v="6657"/>
    <n v="276"/>
    <n v="11.73"/>
    <n v="3237.48"/>
    <n v="3419.52"/>
  </r>
  <r>
    <m/>
    <x v="6"/>
    <x v="4"/>
    <x v="21"/>
    <n v="6608"/>
    <n v="225"/>
    <n v="11.7"/>
    <n v="2632.5"/>
    <n v="3975.5"/>
  </r>
  <r>
    <m/>
    <x v="4"/>
    <x v="5"/>
    <x v="2"/>
    <n v="6580"/>
    <n v="183"/>
    <n v="10.38"/>
    <n v="1899.5400000000002"/>
    <n v="4680.46"/>
  </r>
  <r>
    <m/>
    <x v="6"/>
    <x v="4"/>
    <x v="9"/>
    <n v="6454"/>
    <n v="54"/>
    <n v="14.49"/>
    <n v="782.46"/>
    <n v="5671.54"/>
  </r>
  <r>
    <m/>
    <x v="8"/>
    <x v="5"/>
    <x v="20"/>
    <n v="6433"/>
    <n v="78"/>
    <n v="9"/>
    <n v="702"/>
    <n v="5731"/>
  </r>
  <r>
    <m/>
    <x v="5"/>
    <x v="4"/>
    <x v="15"/>
    <n v="6398"/>
    <n v="102"/>
    <n v="4.97"/>
    <n v="506.94"/>
    <n v="5891.06"/>
  </r>
  <r>
    <m/>
    <x v="6"/>
    <x v="4"/>
    <x v="4"/>
    <n v="6391"/>
    <n v="48"/>
    <n v="12.37"/>
    <n v="593.76"/>
    <n v="5797.24"/>
  </r>
  <r>
    <m/>
    <x v="3"/>
    <x v="3"/>
    <x v="7"/>
    <n v="6370"/>
    <n v="30"/>
    <n v="16.73"/>
    <n v="501.90000000000003"/>
    <n v="5868.1"/>
  </r>
  <r>
    <m/>
    <x v="0"/>
    <x v="0"/>
    <x v="18"/>
    <n v="6314"/>
    <n v="15"/>
    <n v="6.49"/>
    <n v="97.350000000000009"/>
    <n v="6216.65"/>
  </r>
  <r>
    <m/>
    <x v="9"/>
    <x v="1"/>
    <x v="17"/>
    <n v="6300"/>
    <n v="42"/>
    <n v="13.15"/>
    <n v="552.30000000000007"/>
    <n v="5747.7"/>
  </r>
  <r>
    <m/>
    <x v="8"/>
    <x v="4"/>
    <x v="16"/>
    <n v="6279"/>
    <n v="45"/>
    <n v="5.6"/>
    <n v="251.99999999999997"/>
    <n v="6027"/>
  </r>
  <r>
    <m/>
    <x v="0"/>
    <x v="1"/>
    <x v="12"/>
    <n v="6279"/>
    <n v="237"/>
    <n v="9.77"/>
    <n v="2315.4899999999998"/>
    <n v="3963.51"/>
  </r>
  <r>
    <m/>
    <x v="0"/>
    <x v="0"/>
    <x v="8"/>
    <n v="6146"/>
    <n v="63"/>
    <n v="9.33"/>
    <n v="587.79"/>
    <n v="5558.21"/>
  </r>
  <r>
    <m/>
    <x v="3"/>
    <x v="4"/>
    <x v="7"/>
    <n v="6132"/>
    <n v="93"/>
    <n v="16.73"/>
    <n v="1555.89"/>
    <n v="4576.1099999999997"/>
  </r>
  <r>
    <m/>
    <x v="3"/>
    <x v="5"/>
    <x v="10"/>
    <n v="6125"/>
    <n v="102"/>
    <n v="11.88"/>
    <n v="1211.76"/>
    <n v="4913.24"/>
  </r>
  <r>
    <m/>
    <x v="7"/>
    <x v="0"/>
    <x v="5"/>
    <n v="6118"/>
    <n v="9"/>
    <n v="8.65"/>
    <n v="77.850000000000009"/>
    <n v="6040.15"/>
  </r>
  <r>
    <m/>
    <x v="5"/>
    <x v="0"/>
    <x v="9"/>
    <n v="6118"/>
    <n v="174"/>
    <n v="14.49"/>
    <n v="2521.2600000000002"/>
    <n v="3596.74"/>
  </r>
  <r>
    <m/>
    <x v="0"/>
    <x v="0"/>
    <x v="6"/>
    <n v="6111"/>
    <n v="3"/>
    <n v="6.47"/>
    <n v="19.41"/>
    <n v="6091.59"/>
  </r>
  <r>
    <m/>
    <x v="7"/>
    <x v="3"/>
    <x v="11"/>
    <n v="6048"/>
    <n v="27"/>
    <n v="3.11"/>
    <n v="83.97"/>
    <n v="5964.03"/>
  </r>
  <r>
    <m/>
    <x v="4"/>
    <x v="3"/>
    <x v="2"/>
    <n v="6027"/>
    <n v="144"/>
    <n v="10.38"/>
    <n v="1494.72"/>
    <n v="4532.28"/>
  </r>
  <r>
    <m/>
    <x v="5"/>
    <x v="5"/>
    <x v="12"/>
    <n v="5915"/>
    <n v="3"/>
    <n v="9.77"/>
    <n v="29.31"/>
    <n v="5885.69"/>
  </r>
  <r>
    <m/>
    <x v="3"/>
    <x v="3"/>
    <x v="12"/>
    <n v="5817"/>
    <n v="12"/>
    <n v="9.77"/>
    <n v="117.24"/>
    <n v="5699.76"/>
  </r>
  <r>
    <m/>
    <x v="3"/>
    <x v="3"/>
    <x v="3"/>
    <n v="5775"/>
    <n v="42"/>
    <n v="11.73"/>
    <n v="492.66"/>
    <n v="5282.34"/>
  </r>
  <r>
    <m/>
    <x v="6"/>
    <x v="5"/>
    <x v="2"/>
    <n v="5677"/>
    <n v="258"/>
    <n v="10.38"/>
    <n v="2678.0400000000004"/>
    <n v="2998.9599999999996"/>
  </r>
  <r>
    <m/>
    <x v="3"/>
    <x v="5"/>
    <x v="8"/>
    <n v="5670"/>
    <n v="297"/>
    <n v="9.33"/>
    <n v="2771.01"/>
    <n v="2898.99"/>
  </r>
  <r>
    <m/>
    <x v="2"/>
    <x v="5"/>
    <x v="21"/>
    <n v="5586"/>
    <n v="525"/>
    <n v="11.7"/>
    <n v="6142.5"/>
    <n v="-556.5"/>
  </r>
  <r>
    <m/>
    <x v="6"/>
    <x v="0"/>
    <x v="13"/>
    <n v="5551"/>
    <n v="252"/>
    <n v="7.16"/>
    <n v="1804.32"/>
    <n v="3746.6800000000003"/>
  </r>
  <r>
    <m/>
    <x v="0"/>
    <x v="5"/>
    <x v="19"/>
    <n v="5474"/>
    <n v="168"/>
    <n v="7.64"/>
    <n v="1283.52"/>
    <n v="4190.4799999999996"/>
  </r>
  <r>
    <m/>
    <x v="3"/>
    <x v="0"/>
    <x v="17"/>
    <n v="5439"/>
    <n v="30"/>
    <n v="13.15"/>
    <n v="394.5"/>
    <n v="5044.5"/>
  </r>
  <r>
    <m/>
    <x v="2"/>
    <x v="1"/>
    <x v="19"/>
    <n v="5355"/>
    <n v="204"/>
    <n v="7.64"/>
    <n v="1558.56"/>
    <n v="3796.44"/>
  </r>
  <r>
    <m/>
    <x v="6"/>
    <x v="4"/>
    <x v="16"/>
    <n v="5306"/>
    <n v="0"/>
    <n v="5.6"/>
    <n v="0"/>
    <n v="5306"/>
  </r>
  <r>
    <m/>
    <x v="0"/>
    <x v="3"/>
    <x v="16"/>
    <n v="5236"/>
    <n v="51"/>
    <n v="5.6"/>
    <n v="285.59999999999997"/>
    <n v="4950.3999999999996"/>
  </r>
  <r>
    <m/>
    <x v="6"/>
    <x v="2"/>
    <x v="2"/>
    <n v="5194"/>
    <n v="288"/>
    <n v="10.38"/>
    <n v="2989.44"/>
    <n v="2204.56"/>
  </r>
  <r>
    <m/>
    <x v="0"/>
    <x v="5"/>
    <x v="5"/>
    <n v="5075"/>
    <n v="21"/>
    <n v="8.65"/>
    <n v="181.65"/>
    <n v="4893.3500000000004"/>
  </r>
  <r>
    <m/>
    <x v="3"/>
    <x v="1"/>
    <x v="11"/>
    <n v="5019"/>
    <n v="156"/>
    <n v="3.11"/>
    <n v="485.15999999999997"/>
    <n v="4533.84"/>
  </r>
  <r>
    <m/>
    <x v="8"/>
    <x v="0"/>
    <x v="18"/>
    <n v="5019"/>
    <n v="150"/>
    <n v="6.49"/>
    <n v="973.5"/>
    <n v="4045.5"/>
  </r>
  <r>
    <m/>
    <x v="8"/>
    <x v="2"/>
    <x v="12"/>
    <n v="5012"/>
    <n v="210"/>
    <n v="9.77"/>
    <n v="2051.6999999999998"/>
    <n v="2960.3"/>
  </r>
  <r>
    <m/>
    <x v="0"/>
    <x v="4"/>
    <x v="21"/>
    <n v="4991"/>
    <n v="12"/>
    <n v="11.7"/>
    <n v="140.39999999999998"/>
    <n v="4850.6000000000004"/>
  </r>
  <r>
    <m/>
    <x v="2"/>
    <x v="1"/>
    <x v="16"/>
    <n v="4991"/>
    <n v="9"/>
    <n v="5.6"/>
    <n v="50.4"/>
    <n v="4940.6000000000004"/>
  </r>
  <r>
    <m/>
    <x v="7"/>
    <x v="0"/>
    <x v="11"/>
    <n v="4970"/>
    <n v="156"/>
    <n v="3.11"/>
    <n v="485.15999999999997"/>
    <n v="4484.84"/>
  </r>
  <r>
    <m/>
    <x v="9"/>
    <x v="3"/>
    <x v="16"/>
    <n v="4956"/>
    <n v="171"/>
    <n v="5.6"/>
    <n v="957.59999999999991"/>
    <n v="3998.4"/>
  </r>
  <r>
    <m/>
    <x v="7"/>
    <x v="4"/>
    <x v="18"/>
    <n v="4949"/>
    <n v="189"/>
    <n v="6.49"/>
    <n v="1226.6100000000001"/>
    <n v="3722.39"/>
  </r>
  <r>
    <m/>
    <x v="5"/>
    <x v="1"/>
    <x v="18"/>
    <n v="4935"/>
    <n v="126"/>
    <n v="6.49"/>
    <n v="817.74"/>
    <n v="4117.26"/>
  </r>
  <r>
    <m/>
    <x v="2"/>
    <x v="3"/>
    <x v="20"/>
    <n v="4858"/>
    <n v="279"/>
    <n v="9"/>
    <n v="2511"/>
    <n v="2347"/>
  </r>
  <r>
    <m/>
    <x v="4"/>
    <x v="3"/>
    <x v="3"/>
    <n v="4802"/>
    <n v="36"/>
    <n v="11.73"/>
    <n v="422.28000000000003"/>
    <n v="4379.72"/>
  </r>
  <r>
    <m/>
    <x v="7"/>
    <x v="2"/>
    <x v="9"/>
    <n v="4781"/>
    <n v="123"/>
    <n v="14.49"/>
    <n v="1782.27"/>
    <n v="2998.73"/>
  </r>
  <r>
    <m/>
    <x v="5"/>
    <x v="2"/>
    <x v="8"/>
    <n v="4760"/>
    <n v="69"/>
    <n v="9.33"/>
    <n v="643.77"/>
    <n v="4116.2299999999996"/>
  </r>
  <r>
    <m/>
    <x v="8"/>
    <x v="2"/>
    <x v="7"/>
    <n v="4753"/>
    <n v="300"/>
    <n v="16.73"/>
    <n v="5019"/>
    <n v="-266"/>
  </r>
  <r>
    <m/>
    <x v="0"/>
    <x v="2"/>
    <x v="14"/>
    <n v="4753"/>
    <n v="246"/>
    <n v="5.79"/>
    <n v="1424.34"/>
    <n v="3328.66"/>
  </r>
  <r>
    <m/>
    <x v="3"/>
    <x v="2"/>
    <x v="0"/>
    <n v="4725"/>
    <n v="174"/>
    <n v="8.7899999999999991"/>
    <n v="1529.4599999999998"/>
    <n v="3195.54"/>
  </r>
  <r>
    <m/>
    <x v="2"/>
    <x v="4"/>
    <x v="18"/>
    <n v="4683"/>
    <n v="30"/>
    <n v="6.49"/>
    <n v="194.70000000000002"/>
    <n v="4488.3"/>
  </r>
  <r>
    <m/>
    <x v="6"/>
    <x v="2"/>
    <x v="21"/>
    <n v="4606"/>
    <n v="63"/>
    <n v="11.7"/>
    <n v="737.09999999999991"/>
    <n v="3868.9"/>
  </r>
  <r>
    <m/>
    <x v="9"/>
    <x v="4"/>
    <x v="13"/>
    <n v="4592"/>
    <n v="324"/>
    <n v="7.16"/>
    <n v="2319.84"/>
    <n v="2272.16"/>
  </r>
  <r>
    <m/>
    <x v="6"/>
    <x v="2"/>
    <x v="19"/>
    <n v="4585"/>
    <n v="240"/>
    <n v="7.64"/>
    <n v="1833.6"/>
    <n v="2751.4"/>
  </r>
  <r>
    <m/>
    <x v="6"/>
    <x v="4"/>
    <x v="11"/>
    <n v="4487"/>
    <n v="111"/>
    <n v="3.11"/>
    <n v="345.21"/>
    <n v="4141.79"/>
  </r>
  <r>
    <m/>
    <x v="6"/>
    <x v="4"/>
    <x v="0"/>
    <n v="4487"/>
    <n v="333"/>
    <n v="8.7899999999999991"/>
    <n v="2927.0699999999997"/>
    <n v="1559.9300000000003"/>
  </r>
  <r>
    <m/>
    <x v="0"/>
    <x v="2"/>
    <x v="13"/>
    <n v="4480"/>
    <n v="357"/>
    <n v="7.16"/>
    <n v="2556.12"/>
    <n v="1923.88"/>
  </r>
  <r>
    <m/>
    <x v="6"/>
    <x v="3"/>
    <x v="11"/>
    <n v="4438"/>
    <n v="246"/>
    <n v="3.11"/>
    <n v="765.06"/>
    <n v="3672.94"/>
  </r>
  <r>
    <m/>
    <x v="3"/>
    <x v="0"/>
    <x v="8"/>
    <n v="4424"/>
    <n v="201"/>
    <n v="9.33"/>
    <n v="1875.33"/>
    <n v="2548.67"/>
  </r>
  <r>
    <m/>
    <x v="4"/>
    <x v="5"/>
    <x v="18"/>
    <n v="4417"/>
    <n v="153"/>
    <n v="6.49"/>
    <n v="992.97"/>
    <n v="3424.0299999999997"/>
  </r>
  <r>
    <m/>
    <x v="4"/>
    <x v="5"/>
    <x v="14"/>
    <n v="4326"/>
    <n v="348"/>
    <n v="5.79"/>
    <n v="2014.92"/>
    <n v="2311.08"/>
  </r>
  <r>
    <m/>
    <x v="7"/>
    <x v="0"/>
    <x v="8"/>
    <n v="4319"/>
    <n v="30"/>
    <n v="9.33"/>
    <n v="279.89999999999998"/>
    <n v="4039.1"/>
  </r>
  <r>
    <m/>
    <x v="1"/>
    <x v="4"/>
    <x v="17"/>
    <n v="4305"/>
    <n v="156"/>
    <n v="13.15"/>
    <n v="2051.4"/>
    <n v="2253.6"/>
  </r>
  <r>
    <m/>
    <x v="7"/>
    <x v="1"/>
    <x v="7"/>
    <n v="4242"/>
    <n v="207"/>
    <n v="16.73"/>
    <n v="3463.11"/>
    <n v="778.88999999999987"/>
  </r>
  <r>
    <m/>
    <x v="1"/>
    <x v="5"/>
    <x v="15"/>
    <n v="4137"/>
    <n v="60"/>
    <n v="4.97"/>
    <n v="298.2"/>
    <n v="3838.8"/>
  </r>
  <r>
    <m/>
    <x v="2"/>
    <x v="1"/>
    <x v="12"/>
    <n v="4053"/>
    <n v="24"/>
    <n v="9.77"/>
    <n v="234.48"/>
    <n v="3818.52"/>
  </r>
  <r>
    <m/>
    <x v="3"/>
    <x v="1"/>
    <x v="19"/>
    <n v="4018"/>
    <n v="162"/>
    <n v="7.64"/>
    <n v="1237.6799999999998"/>
    <n v="2780.32"/>
  </r>
  <r>
    <m/>
    <x v="0"/>
    <x v="3"/>
    <x v="15"/>
    <n v="4018"/>
    <n v="171"/>
    <n v="4.97"/>
    <n v="849.87"/>
    <n v="3168.13"/>
  </r>
  <r>
    <m/>
    <x v="4"/>
    <x v="3"/>
    <x v="4"/>
    <n v="4018"/>
    <n v="126"/>
    <n v="12.37"/>
    <n v="1558.62"/>
    <n v="2459.38"/>
  </r>
  <r>
    <m/>
    <x v="9"/>
    <x v="4"/>
    <x v="11"/>
    <n v="3983"/>
    <n v="144"/>
    <n v="3.11"/>
    <n v="447.84"/>
    <n v="3535.16"/>
  </r>
  <r>
    <m/>
    <x v="5"/>
    <x v="3"/>
    <x v="21"/>
    <n v="3976"/>
    <n v="72"/>
    <n v="11.7"/>
    <n v="842.4"/>
    <n v="3133.6"/>
  </r>
  <r>
    <m/>
    <x v="1"/>
    <x v="3"/>
    <x v="15"/>
    <n v="3920"/>
    <n v="306"/>
    <n v="4.97"/>
    <n v="1520.82"/>
    <n v="2399.1800000000003"/>
  </r>
  <r>
    <m/>
    <x v="7"/>
    <x v="2"/>
    <x v="7"/>
    <n v="3864"/>
    <n v="177"/>
    <n v="16.73"/>
    <n v="2961.21"/>
    <n v="902.79"/>
  </r>
  <r>
    <m/>
    <x v="1"/>
    <x v="5"/>
    <x v="17"/>
    <n v="3850"/>
    <n v="102"/>
    <n v="13.15"/>
    <n v="1341.3"/>
    <n v="2508.6999999999998"/>
  </r>
  <r>
    <m/>
    <x v="6"/>
    <x v="1"/>
    <x v="3"/>
    <n v="3829"/>
    <n v="24"/>
    <n v="11.73"/>
    <n v="281.52"/>
    <n v="3547.48"/>
  </r>
  <r>
    <m/>
    <x v="2"/>
    <x v="2"/>
    <x v="6"/>
    <n v="3808"/>
    <n v="279"/>
    <n v="6.47"/>
    <n v="1805.1299999999999"/>
    <n v="2002.8700000000001"/>
  </r>
  <r>
    <m/>
    <x v="3"/>
    <x v="1"/>
    <x v="4"/>
    <n v="3794"/>
    <n v="159"/>
    <n v="12.37"/>
    <n v="1966.83"/>
    <n v="1827.17"/>
  </r>
  <r>
    <m/>
    <x v="9"/>
    <x v="0"/>
    <x v="18"/>
    <n v="3773"/>
    <n v="165"/>
    <n v="6.49"/>
    <n v="1070.8500000000001"/>
    <n v="2702.1499999999996"/>
  </r>
  <r>
    <m/>
    <x v="7"/>
    <x v="1"/>
    <x v="11"/>
    <n v="3759"/>
    <n v="150"/>
    <n v="3.11"/>
    <n v="466.5"/>
    <n v="3292.5"/>
  </r>
  <r>
    <m/>
    <x v="8"/>
    <x v="5"/>
    <x v="5"/>
    <n v="3752"/>
    <n v="213"/>
    <n v="8.65"/>
    <n v="1842.45"/>
    <n v="1909.55"/>
  </r>
  <r>
    <m/>
    <x v="9"/>
    <x v="1"/>
    <x v="2"/>
    <n v="3689"/>
    <n v="312"/>
    <n v="10.38"/>
    <n v="3238.5600000000004"/>
    <n v="450.4399999999996"/>
  </r>
  <r>
    <m/>
    <x v="9"/>
    <x v="3"/>
    <x v="13"/>
    <n v="3640"/>
    <n v="51"/>
    <n v="7.16"/>
    <n v="365.16"/>
    <n v="3274.84"/>
  </r>
  <r>
    <m/>
    <x v="8"/>
    <x v="2"/>
    <x v="9"/>
    <n v="3598"/>
    <n v="81"/>
    <n v="14.49"/>
    <n v="1173.69"/>
    <n v="2424.31"/>
  </r>
  <r>
    <m/>
    <x v="7"/>
    <x v="4"/>
    <x v="2"/>
    <n v="3556"/>
    <n v="459"/>
    <n v="10.38"/>
    <n v="4764.42"/>
    <n v="-1208.42"/>
  </r>
  <r>
    <m/>
    <x v="4"/>
    <x v="5"/>
    <x v="10"/>
    <n v="3549"/>
    <n v="3"/>
    <n v="11.88"/>
    <n v="35.64"/>
    <n v="3513.36"/>
  </r>
  <r>
    <m/>
    <x v="8"/>
    <x v="1"/>
    <x v="14"/>
    <n v="3507"/>
    <n v="288"/>
    <n v="5.79"/>
    <n v="1667.52"/>
    <n v="1839.48"/>
  </r>
  <r>
    <m/>
    <x v="2"/>
    <x v="2"/>
    <x v="21"/>
    <n v="3472"/>
    <n v="96"/>
    <n v="11.7"/>
    <n v="1123.1999999999998"/>
    <n v="2348.8000000000002"/>
  </r>
  <r>
    <m/>
    <x v="7"/>
    <x v="1"/>
    <x v="9"/>
    <n v="3402"/>
    <n v="366"/>
    <n v="14.49"/>
    <n v="5303.34"/>
    <n v="-1901.3400000000001"/>
  </r>
  <r>
    <m/>
    <x v="5"/>
    <x v="4"/>
    <x v="1"/>
    <n v="3388"/>
    <n v="123"/>
    <n v="10.62"/>
    <n v="1306.26"/>
    <n v="2081.7399999999998"/>
  </r>
  <r>
    <m/>
    <x v="7"/>
    <x v="1"/>
    <x v="13"/>
    <n v="3339"/>
    <n v="75"/>
    <n v="7.16"/>
    <n v="537"/>
    <n v="2802"/>
  </r>
  <r>
    <m/>
    <x v="9"/>
    <x v="0"/>
    <x v="17"/>
    <n v="3339"/>
    <n v="39"/>
    <n v="13.15"/>
    <n v="512.85"/>
    <n v="2826.15"/>
  </r>
  <r>
    <m/>
    <x v="0"/>
    <x v="0"/>
    <x v="11"/>
    <n v="3339"/>
    <n v="348"/>
    <n v="3.11"/>
    <n v="1082.28"/>
    <n v="2256.7200000000003"/>
  </r>
  <r>
    <m/>
    <x v="6"/>
    <x v="1"/>
    <x v="5"/>
    <n v="3262"/>
    <n v="75"/>
    <n v="8.65"/>
    <n v="648.75"/>
    <n v="2613.25"/>
  </r>
  <r>
    <m/>
    <x v="1"/>
    <x v="3"/>
    <x v="17"/>
    <n v="3192"/>
    <n v="72"/>
    <n v="13.15"/>
    <n v="946.80000000000007"/>
    <n v="2245.1999999999998"/>
  </r>
  <r>
    <m/>
    <x v="3"/>
    <x v="0"/>
    <x v="7"/>
    <n v="3164"/>
    <n v="306"/>
    <n v="16.73"/>
    <n v="5119.38"/>
    <n v="-1955.38"/>
  </r>
  <r>
    <m/>
    <x v="9"/>
    <x v="1"/>
    <x v="16"/>
    <n v="3108"/>
    <n v="54"/>
    <n v="5.6"/>
    <n v="302.39999999999998"/>
    <n v="2805.6"/>
  </r>
  <r>
    <m/>
    <x v="3"/>
    <x v="3"/>
    <x v="2"/>
    <n v="3101"/>
    <n v="225"/>
    <n v="10.38"/>
    <n v="2335.5"/>
    <n v="765.5"/>
  </r>
  <r>
    <m/>
    <x v="4"/>
    <x v="0"/>
    <x v="14"/>
    <n v="3094"/>
    <n v="246"/>
    <n v="5.79"/>
    <n v="1424.34"/>
    <n v="1669.66"/>
  </r>
  <r>
    <m/>
    <x v="2"/>
    <x v="4"/>
    <x v="2"/>
    <n v="3059"/>
    <n v="27"/>
    <n v="10.38"/>
    <n v="280.26000000000005"/>
    <n v="2778.74"/>
  </r>
  <r>
    <m/>
    <x v="7"/>
    <x v="3"/>
    <x v="13"/>
    <n v="3052"/>
    <n v="378"/>
    <n v="7.16"/>
    <n v="2706.48"/>
    <n v="345.52"/>
  </r>
  <r>
    <m/>
    <x v="7"/>
    <x v="3"/>
    <x v="15"/>
    <n v="2989"/>
    <n v="3"/>
    <n v="4.97"/>
    <n v="14.91"/>
    <n v="2974.09"/>
  </r>
  <r>
    <m/>
    <x v="1"/>
    <x v="0"/>
    <x v="5"/>
    <n v="2954"/>
    <n v="189"/>
    <n v="8.65"/>
    <n v="1634.8500000000001"/>
    <n v="1319.1499999999999"/>
  </r>
  <r>
    <m/>
    <x v="5"/>
    <x v="4"/>
    <x v="20"/>
    <n v="2933"/>
    <n v="9"/>
    <n v="9"/>
    <n v="81"/>
    <n v="2852"/>
  </r>
  <r>
    <m/>
    <x v="1"/>
    <x v="4"/>
    <x v="2"/>
    <n v="2919"/>
    <n v="45"/>
    <n v="10.38"/>
    <n v="467.1"/>
    <n v="2451.9"/>
  </r>
  <r>
    <m/>
    <x v="9"/>
    <x v="1"/>
    <x v="11"/>
    <n v="2919"/>
    <n v="93"/>
    <n v="3.11"/>
    <n v="289.22999999999996"/>
    <n v="2629.77"/>
  </r>
  <r>
    <m/>
    <x v="0"/>
    <x v="1"/>
    <x v="13"/>
    <n v="2891"/>
    <n v="102"/>
    <n v="7.16"/>
    <n v="730.32"/>
    <n v="2160.6799999999998"/>
  </r>
  <r>
    <m/>
    <x v="6"/>
    <x v="0"/>
    <x v="19"/>
    <n v="2870"/>
    <n v="300"/>
    <n v="7.64"/>
    <n v="2292"/>
    <n v="578"/>
  </r>
  <r>
    <m/>
    <x v="4"/>
    <x v="4"/>
    <x v="3"/>
    <n v="2863"/>
    <n v="42"/>
    <n v="11.73"/>
    <n v="492.66"/>
    <n v="2370.34"/>
  </r>
  <r>
    <m/>
    <x v="1"/>
    <x v="4"/>
    <x v="16"/>
    <n v="2856"/>
    <n v="246"/>
    <n v="5.6"/>
    <n v="1377.6"/>
    <n v="1478.4"/>
  </r>
  <r>
    <m/>
    <x v="6"/>
    <x v="2"/>
    <x v="15"/>
    <n v="2793"/>
    <n v="114"/>
    <n v="4.97"/>
    <n v="566.57999999999993"/>
    <n v="2226.42"/>
  </r>
  <r>
    <m/>
    <x v="3"/>
    <x v="1"/>
    <x v="18"/>
    <n v="2779"/>
    <n v="75"/>
    <n v="6.49"/>
    <n v="486.75"/>
    <n v="2292.25"/>
  </r>
  <r>
    <m/>
    <x v="0"/>
    <x v="2"/>
    <x v="10"/>
    <n v="2744"/>
    <n v="9"/>
    <n v="11.88"/>
    <n v="106.92"/>
    <n v="2637.08"/>
  </r>
  <r>
    <m/>
    <x v="1"/>
    <x v="4"/>
    <x v="18"/>
    <n v="2737"/>
    <n v="93"/>
    <n v="6.49"/>
    <n v="603.57000000000005"/>
    <n v="2133.4299999999998"/>
  </r>
  <r>
    <m/>
    <x v="8"/>
    <x v="2"/>
    <x v="1"/>
    <n v="2702"/>
    <n v="363"/>
    <n v="10.62"/>
    <n v="3855.0599999999995"/>
    <n v="-1153.0599999999995"/>
  </r>
  <r>
    <m/>
    <x v="7"/>
    <x v="5"/>
    <x v="14"/>
    <n v="2681"/>
    <n v="54"/>
    <n v="5.79"/>
    <n v="312.66000000000003"/>
    <n v="2368.34"/>
  </r>
  <r>
    <m/>
    <x v="1"/>
    <x v="5"/>
    <x v="0"/>
    <n v="2646"/>
    <n v="120"/>
    <n v="8.7899999999999991"/>
    <n v="1054.8"/>
    <n v="1591.2"/>
  </r>
  <r>
    <m/>
    <x v="6"/>
    <x v="0"/>
    <x v="6"/>
    <n v="2646"/>
    <n v="177"/>
    <n v="6.47"/>
    <n v="1145.19"/>
    <n v="1500.81"/>
  </r>
  <r>
    <m/>
    <x v="1"/>
    <x v="3"/>
    <x v="6"/>
    <n v="2639"/>
    <n v="204"/>
    <n v="6.47"/>
    <n v="1319.8799999999999"/>
    <n v="1319.1200000000001"/>
  </r>
  <r>
    <m/>
    <x v="9"/>
    <x v="1"/>
    <x v="1"/>
    <n v="2583"/>
    <n v="18"/>
    <n v="10.62"/>
    <n v="191.16"/>
    <n v="2391.84"/>
  </r>
  <r>
    <m/>
    <x v="2"/>
    <x v="2"/>
    <x v="3"/>
    <n v="2562"/>
    <n v="6"/>
    <n v="11.73"/>
    <n v="70.38"/>
    <n v="2491.62"/>
  </r>
  <r>
    <m/>
    <x v="3"/>
    <x v="5"/>
    <x v="17"/>
    <n v="2541"/>
    <n v="90"/>
    <n v="13.15"/>
    <n v="1183.5"/>
    <n v="1357.5"/>
  </r>
  <r>
    <m/>
    <x v="3"/>
    <x v="5"/>
    <x v="13"/>
    <n v="2541"/>
    <n v="45"/>
    <n v="7.16"/>
    <n v="322.2"/>
    <n v="2218.8000000000002"/>
  </r>
  <r>
    <m/>
    <x v="6"/>
    <x v="2"/>
    <x v="7"/>
    <n v="2478"/>
    <n v="21"/>
    <n v="16.73"/>
    <n v="351.33"/>
    <n v="2126.67"/>
  </r>
  <r>
    <m/>
    <x v="2"/>
    <x v="0"/>
    <x v="13"/>
    <n v="2471"/>
    <n v="342"/>
    <n v="7.16"/>
    <n v="2448.7200000000003"/>
    <n v="22.279999999999745"/>
  </r>
  <r>
    <m/>
    <x v="9"/>
    <x v="2"/>
    <x v="17"/>
    <n v="2464"/>
    <n v="234"/>
    <n v="13.15"/>
    <n v="3077.1"/>
    <n v="-613.09999999999991"/>
  </r>
  <r>
    <m/>
    <x v="1"/>
    <x v="5"/>
    <x v="16"/>
    <n v="2436"/>
    <n v="99"/>
    <n v="5.6"/>
    <n v="554.4"/>
    <n v="1881.6"/>
  </r>
  <r>
    <m/>
    <x v="1"/>
    <x v="2"/>
    <x v="7"/>
    <n v="2429"/>
    <n v="144"/>
    <n v="16.73"/>
    <n v="2409.12"/>
    <n v="19.880000000000109"/>
  </r>
  <r>
    <m/>
    <x v="9"/>
    <x v="2"/>
    <x v="21"/>
    <n v="2415"/>
    <n v="255"/>
    <n v="11.7"/>
    <n v="2983.5"/>
    <n v="-568.5"/>
  </r>
  <r>
    <m/>
    <x v="0"/>
    <x v="2"/>
    <x v="6"/>
    <n v="2415"/>
    <n v="15"/>
    <n v="6.47"/>
    <n v="97.05"/>
    <n v="2317.9499999999998"/>
  </r>
  <r>
    <m/>
    <x v="1"/>
    <x v="5"/>
    <x v="11"/>
    <n v="2408"/>
    <n v="9"/>
    <n v="3.11"/>
    <n v="27.99"/>
    <n v="2380.0100000000002"/>
  </r>
  <r>
    <m/>
    <x v="5"/>
    <x v="4"/>
    <x v="16"/>
    <n v="2324"/>
    <n v="177"/>
    <n v="5.6"/>
    <n v="991.19999999999993"/>
    <n v="1332.8000000000002"/>
  </r>
  <r>
    <m/>
    <x v="2"/>
    <x v="0"/>
    <x v="18"/>
    <n v="2317"/>
    <n v="261"/>
    <n v="6.49"/>
    <n v="1693.89"/>
    <n v="623.1099999999999"/>
  </r>
  <r>
    <m/>
    <x v="7"/>
    <x v="5"/>
    <x v="8"/>
    <n v="2317"/>
    <n v="123"/>
    <n v="9.33"/>
    <n v="1147.5899999999999"/>
    <n v="1169.4100000000001"/>
  </r>
  <r>
    <m/>
    <x v="3"/>
    <x v="1"/>
    <x v="7"/>
    <n v="2289"/>
    <n v="135"/>
    <n v="16.73"/>
    <n v="2258.5500000000002"/>
    <n v="30.449999999999818"/>
  </r>
  <r>
    <m/>
    <x v="3"/>
    <x v="2"/>
    <x v="9"/>
    <n v="2275"/>
    <n v="447"/>
    <n v="14.49"/>
    <n v="6477.03"/>
    <n v="-4202.03"/>
  </r>
  <r>
    <m/>
    <x v="8"/>
    <x v="5"/>
    <x v="7"/>
    <n v="2268"/>
    <n v="63"/>
    <n v="16.73"/>
    <n v="1053.99"/>
    <n v="1214.01"/>
  </r>
  <r>
    <m/>
    <x v="6"/>
    <x v="1"/>
    <x v="4"/>
    <n v="2226"/>
    <n v="48"/>
    <n v="12.37"/>
    <n v="593.76"/>
    <n v="1632.24"/>
  </r>
  <r>
    <m/>
    <x v="7"/>
    <x v="1"/>
    <x v="0"/>
    <n v="2219"/>
    <n v="75"/>
    <n v="8.7899999999999991"/>
    <n v="659.24999999999989"/>
    <n v="1559.75"/>
  </r>
  <r>
    <m/>
    <x v="9"/>
    <x v="1"/>
    <x v="18"/>
    <n v="2212"/>
    <n v="117"/>
    <n v="6.49"/>
    <n v="759.33"/>
    <n v="1452.67"/>
  </r>
  <r>
    <m/>
    <x v="2"/>
    <x v="5"/>
    <x v="12"/>
    <n v="2205"/>
    <n v="141"/>
    <n v="9.77"/>
    <n v="1377.57"/>
    <n v="827.43000000000006"/>
  </r>
  <r>
    <m/>
    <x v="6"/>
    <x v="1"/>
    <x v="1"/>
    <n v="2205"/>
    <n v="138"/>
    <n v="10.62"/>
    <n v="1465.56"/>
    <n v="739.44"/>
  </r>
  <r>
    <m/>
    <x v="6"/>
    <x v="0"/>
    <x v="14"/>
    <n v="2149"/>
    <n v="117"/>
    <n v="5.79"/>
    <n v="677.43"/>
    <n v="1471.5700000000002"/>
  </r>
  <r>
    <m/>
    <x v="1"/>
    <x v="0"/>
    <x v="17"/>
    <n v="2142"/>
    <n v="114"/>
    <n v="13.15"/>
    <n v="1499.1000000000001"/>
    <n v="642.89999999999986"/>
  </r>
  <r>
    <m/>
    <x v="6"/>
    <x v="2"/>
    <x v="0"/>
    <n v="2135"/>
    <n v="27"/>
    <n v="8.7899999999999991"/>
    <n v="237.32999999999998"/>
    <n v="1897.67"/>
  </r>
  <r>
    <m/>
    <x v="9"/>
    <x v="2"/>
    <x v="13"/>
    <n v="2114"/>
    <n v="66"/>
    <n v="7.16"/>
    <n v="472.56"/>
    <n v="1641.44"/>
  </r>
  <r>
    <m/>
    <x v="5"/>
    <x v="2"/>
    <x v="3"/>
    <n v="2114"/>
    <n v="186"/>
    <n v="11.73"/>
    <n v="2181.7800000000002"/>
    <n v="-67.7800000000002"/>
  </r>
  <r>
    <m/>
    <x v="7"/>
    <x v="3"/>
    <x v="17"/>
    <n v="2100"/>
    <n v="414"/>
    <n v="13.15"/>
    <n v="5444.1"/>
    <n v="-3344.1000000000004"/>
  </r>
  <r>
    <m/>
    <x v="8"/>
    <x v="2"/>
    <x v="13"/>
    <n v="2023"/>
    <n v="168"/>
    <n v="7.16"/>
    <n v="1202.8800000000001"/>
    <n v="820.11999999999989"/>
  </r>
  <r>
    <m/>
    <x v="9"/>
    <x v="2"/>
    <x v="18"/>
    <n v="2023"/>
    <n v="78"/>
    <n v="6.49"/>
    <n v="506.22"/>
    <n v="1516.78"/>
  </r>
  <r>
    <m/>
    <x v="4"/>
    <x v="3"/>
    <x v="0"/>
    <n v="2016"/>
    <n v="117"/>
    <n v="8.7899999999999991"/>
    <n v="1028.4299999999998"/>
    <n v="987.57000000000016"/>
  </r>
  <r>
    <m/>
    <x v="8"/>
    <x v="1"/>
    <x v="0"/>
    <n v="2009"/>
    <n v="219"/>
    <n v="8.7899999999999991"/>
    <n v="1925.0099999999998"/>
    <n v="83.990000000000236"/>
  </r>
  <r>
    <m/>
    <x v="3"/>
    <x v="5"/>
    <x v="14"/>
    <n v="1988"/>
    <n v="39"/>
    <n v="5.79"/>
    <n v="225.81"/>
    <n v="1762.19"/>
  </r>
  <r>
    <m/>
    <x v="2"/>
    <x v="2"/>
    <x v="1"/>
    <n v="1974"/>
    <n v="195"/>
    <n v="10.62"/>
    <n v="2070.8999999999996"/>
    <n v="-96.899999999999636"/>
  </r>
  <r>
    <m/>
    <x v="6"/>
    <x v="1"/>
    <x v="21"/>
    <n v="1932"/>
    <n v="369"/>
    <n v="11.7"/>
    <n v="4317.3"/>
    <n v="-2385.3000000000002"/>
  </r>
  <r>
    <m/>
    <x v="5"/>
    <x v="0"/>
    <x v="19"/>
    <n v="1925"/>
    <n v="192"/>
    <n v="7.64"/>
    <n v="1466.8799999999999"/>
    <n v="458.12000000000012"/>
  </r>
  <r>
    <m/>
    <x v="7"/>
    <x v="4"/>
    <x v="0"/>
    <n v="1904"/>
    <n v="405"/>
    <n v="8.7899999999999991"/>
    <n v="3559.95"/>
    <n v="-1655.9499999999998"/>
  </r>
  <r>
    <m/>
    <x v="8"/>
    <x v="4"/>
    <x v="12"/>
    <n v="1890"/>
    <n v="195"/>
    <n v="9.77"/>
    <n v="1905.1499999999999"/>
    <n v="-15.149999999999864"/>
  </r>
  <r>
    <m/>
    <x v="4"/>
    <x v="3"/>
    <x v="17"/>
    <n v="1785"/>
    <n v="462"/>
    <n v="13.15"/>
    <n v="6075.3"/>
    <n v="-4290.3"/>
  </r>
  <r>
    <m/>
    <x v="6"/>
    <x v="5"/>
    <x v="6"/>
    <n v="1778"/>
    <n v="270"/>
    <n v="6.47"/>
    <n v="1746.8999999999999"/>
    <n v="31.100000000000136"/>
  </r>
  <r>
    <m/>
    <x v="8"/>
    <x v="4"/>
    <x v="19"/>
    <n v="1771"/>
    <n v="204"/>
    <n v="7.64"/>
    <n v="1558.56"/>
    <n v="212.44000000000005"/>
  </r>
  <r>
    <m/>
    <x v="8"/>
    <x v="5"/>
    <x v="18"/>
    <n v="1701"/>
    <n v="234"/>
    <n v="6.49"/>
    <n v="1518.66"/>
    <n v="182.33999999999992"/>
  </r>
  <r>
    <m/>
    <x v="0"/>
    <x v="1"/>
    <x v="4"/>
    <n v="1652"/>
    <n v="93"/>
    <n v="12.37"/>
    <n v="1150.4099999999999"/>
    <n v="501.59000000000015"/>
  </r>
  <r>
    <m/>
    <x v="9"/>
    <x v="3"/>
    <x v="2"/>
    <n v="1652"/>
    <n v="102"/>
    <n v="10.38"/>
    <n v="1058.76"/>
    <n v="593.24"/>
  </r>
  <r>
    <m/>
    <x v="7"/>
    <x v="3"/>
    <x v="9"/>
    <n v="1638"/>
    <n v="63"/>
    <n v="14.49"/>
    <n v="912.87"/>
    <n v="725.13"/>
  </r>
  <r>
    <m/>
    <x v="3"/>
    <x v="2"/>
    <x v="15"/>
    <n v="1638"/>
    <n v="48"/>
    <n v="4.97"/>
    <n v="238.56"/>
    <n v="1399.44"/>
  </r>
  <r>
    <m/>
    <x v="3"/>
    <x v="4"/>
    <x v="9"/>
    <n v="1624"/>
    <n v="114"/>
    <n v="14.49"/>
    <n v="1651.8600000000001"/>
    <n v="-27.860000000000127"/>
  </r>
  <r>
    <m/>
    <x v="3"/>
    <x v="2"/>
    <x v="13"/>
    <n v="1617"/>
    <n v="126"/>
    <n v="7.16"/>
    <n v="902.16"/>
    <n v="714.84"/>
  </r>
  <r>
    <m/>
    <x v="4"/>
    <x v="2"/>
    <x v="11"/>
    <n v="1589"/>
    <n v="303"/>
    <n v="3.11"/>
    <n v="942.32999999999993"/>
    <n v="646.67000000000007"/>
  </r>
  <r>
    <m/>
    <x v="6"/>
    <x v="1"/>
    <x v="17"/>
    <n v="1568"/>
    <n v="96"/>
    <n v="13.15"/>
    <n v="1262.4000000000001"/>
    <n v="305.59999999999991"/>
  </r>
  <r>
    <m/>
    <x v="4"/>
    <x v="3"/>
    <x v="12"/>
    <n v="1568"/>
    <n v="141"/>
    <n v="9.77"/>
    <n v="1377.57"/>
    <n v="190.43000000000006"/>
  </r>
  <r>
    <m/>
    <x v="8"/>
    <x v="3"/>
    <x v="16"/>
    <n v="1561"/>
    <n v="27"/>
    <n v="5.6"/>
    <n v="151.19999999999999"/>
    <n v="1409.8"/>
  </r>
  <r>
    <m/>
    <x v="5"/>
    <x v="4"/>
    <x v="9"/>
    <n v="1526"/>
    <n v="240"/>
    <n v="14.49"/>
    <n v="3477.6"/>
    <n v="-1951.6"/>
  </r>
  <r>
    <m/>
    <x v="0"/>
    <x v="0"/>
    <x v="9"/>
    <n v="1526"/>
    <n v="105"/>
    <n v="14.49"/>
    <n v="1521.45"/>
    <n v="4.5499999999999545"/>
  </r>
  <r>
    <m/>
    <x v="7"/>
    <x v="4"/>
    <x v="6"/>
    <n v="1505"/>
    <n v="102"/>
    <n v="6.47"/>
    <n v="659.93999999999994"/>
    <n v="845.06000000000006"/>
  </r>
  <r>
    <m/>
    <x v="5"/>
    <x v="1"/>
    <x v="11"/>
    <n v="1463"/>
    <n v="39"/>
    <n v="3.11"/>
    <n v="121.28999999999999"/>
    <n v="1341.71"/>
  </r>
  <r>
    <m/>
    <x v="7"/>
    <x v="1"/>
    <x v="3"/>
    <n v="1442"/>
    <n v="15"/>
    <n v="11.73"/>
    <n v="175.95000000000002"/>
    <n v="1266.05"/>
  </r>
  <r>
    <m/>
    <x v="2"/>
    <x v="1"/>
    <x v="17"/>
    <n v="1428"/>
    <n v="93"/>
    <n v="13.15"/>
    <n v="1222.95"/>
    <n v="205.04999999999995"/>
  </r>
  <r>
    <m/>
    <x v="2"/>
    <x v="0"/>
    <x v="7"/>
    <n v="1407"/>
    <n v="72"/>
    <n v="16.73"/>
    <n v="1204.56"/>
    <n v="202.44000000000005"/>
  </r>
  <r>
    <m/>
    <x v="7"/>
    <x v="0"/>
    <x v="13"/>
    <n v="1400"/>
    <n v="135"/>
    <n v="7.16"/>
    <n v="966.6"/>
    <n v="433.4"/>
  </r>
  <r>
    <m/>
    <x v="7"/>
    <x v="2"/>
    <x v="10"/>
    <n v="1302"/>
    <n v="402"/>
    <n v="11.88"/>
    <n v="4775.76"/>
    <n v="-3473.76"/>
  </r>
  <r>
    <m/>
    <x v="6"/>
    <x v="5"/>
    <x v="21"/>
    <n v="1281"/>
    <n v="75"/>
    <n v="11.7"/>
    <n v="877.5"/>
    <n v="403.5"/>
  </r>
  <r>
    <m/>
    <x v="9"/>
    <x v="0"/>
    <x v="19"/>
    <n v="1281"/>
    <n v="18"/>
    <n v="7.64"/>
    <n v="137.51999999999998"/>
    <n v="1143.48"/>
  </r>
  <r>
    <m/>
    <x v="5"/>
    <x v="1"/>
    <x v="0"/>
    <n v="1274"/>
    <n v="225"/>
    <n v="8.7899999999999991"/>
    <n v="1977.7499999999998"/>
    <n v="-703.74999999999977"/>
  </r>
  <r>
    <m/>
    <x v="7"/>
    <x v="5"/>
    <x v="7"/>
    <n v="1134"/>
    <n v="282"/>
    <n v="16.73"/>
    <n v="4717.8599999999997"/>
    <n v="-3583.8599999999997"/>
  </r>
  <r>
    <m/>
    <x v="1"/>
    <x v="4"/>
    <x v="13"/>
    <n v="1085"/>
    <n v="273"/>
    <n v="7.16"/>
    <n v="1954.68"/>
    <n v="-869.68000000000006"/>
  </r>
  <r>
    <m/>
    <x v="7"/>
    <x v="2"/>
    <x v="1"/>
    <n v="1071"/>
    <n v="270"/>
    <n v="10.62"/>
    <n v="2867.3999999999996"/>
    <n v="-1796.3999999999996"/>
  </r>
  <r>
    <m/>
    <x v="4"/>
    <x v="4"/>
    <x v="21"/>
    <n v="1057"/>
    <n v="54"/>
    <n v="11.7"/>
    <n v="631.79999999999995"/>
    <n v="425.20000000000005"/>
  </r>
  <r>
    <m/>
    <x v="9"/>
    <x v="0"/>
    <x v="2"/>
    <n v="973"/>
    <n v="162"/>
    <n v="10.38"/>
    <n v="1681.5600000000002"/>
    <n v="-708.56000000000017"/>
  </r>
  <r>
    <m/>
    <x v="6"/>
    <x v="3"/>
    <x v="7"/>
    <n v="966"/>
    <n v="198"/>
    <n v="16.73"/>
    <n v="3312.54"/>
    <n v="-2346.54"/>
  </r>
  <r>
    <m/>
    <x v="1"/>
    <x v="2"/>
    <x v="10"/>
    <n v="959"/>
    <n v="147"/>
    <n v="11.88"/>
    <n v="1746.3600000000001"/>
    <n v="-787.36000000000013"/>
  </r>
  <r>
    <m/>
    <x v="7"/>
    <x v="5"/>
    <x v="4"/>
    <n v="959"/>
    <n v="135"/>
    <n v="12.37"/>
    <n v="1669.9499999999998"/>
    <n v="-710.94999999999982"/>
  </r>
  <r>
    <m/>
    <x v="2"/>
    <x v="0"/>
    <x v="8"/>
    <n v="945"/>
    <n v="75"/>
    <n v="9.33"/>
    <n v="699.75"/>
    <n v="245.25"/>
  </r>
  <r>
    <m/>
    <x v="7"/>
    <x v="5"/>
    <x v="0"/>
    <n v="938"/>
    <n v="6"/>
    <n v="8.7899999999999991"/>
    <n v="52.739999999999995"/>
    <n v="885.26"/>
  </r>
  <r>
    <m/>
    <x v="1"/>
    <x v="1"/>
    <x v="0"/>
    <n v="938"/>
    <n v="189"/>
    <n v="8.7899999999999991"/>
    <n v="1661.31"/>
    <n v="-723.31"/>
  </r>
  <r>
    <m/>
    <x v="9"/>
    <x v="4"/>
    <x v="10"/>
    <n v="938"/>
    <n v="366"/>
    <n v="11.88"/>
    <n v="4348.08"/>
    <n v="-3410.08"/>
  </r>
  <r>
    <m/>
    <x v="0"/>
    <x v="1"/>
    <x v="19"/>
    <n v="861"/>
    <n v="195"/>
    <n v="7.64"/>
    <n v="1489.8"/>
    <n v="-628.79999999999995"/>
  </r>
  <r>
    <m/>
    <x v="5"/>
    <x v="0"/>
    <x v="2"/>
    <n v="854"/>
    <n v="309"/>
    <n v="10.38"/>
    <n v="3207.42"/>
    <n v="-2353.42"/>
  </r>
  <r>
    <m/>
    <x v="5"/>
    <x v="2"/>
    <x v="7"/>
    <n v="847"/>
    <n v="129"/>
    <n v="16.73"/>
    <n v="2158.17"/>
    <n v="-1311.17"/>
  </r>
  <r>
    <m/>
    <x v="8"/>
    <x v="5"/>
    <x v="8"/>
    <n v="819"/>
    <n v="510"/>
    <n v="9.33"/>
    <n v="4758.3"/>
    <n v="-3939.3"/>
  </r>
  <r>
    <m/>
    <x v="9"/>
    <x v="2"/>
    <x v="4"/>
    <n v="819"/>
    <n v="306"/>
    <n v="12.37"/>
    <n v="3785.22"/>
    <n v="-2966.22"/>
  </r>
  <r>
    <m/>
    <x v="4"/>
    <x v="0"/>
    <x v="7"/>
    <n v="798"/>
    <n v="519"/>
    <n v="16.73"/>
    <n v="8682.8700000000008"/>
    <n v="-7884.8700000000008"/>
  </r>
  <r>
    <m/>
    <x v="5"/>
    <x v="4"/>
    <x v="3"/>
    <n v="714"/>
    <n v="231"/>
    <n v="11.73"/>
    <n v="2709.63"/>
    <n v="-1995.63"/>
  </r>
  <r>
    <m/>
    <x v="1"/>
    <x v="1"/>
    <x v="11"/>
    <n v="707"/>
    <n v="174"/>
    <n v="3.11"/>
    <n v="541.14"/>
    <n v="165.86"/>
  </r>
  <r>
    <m/>
    <x v="2"/>
    <x v="1"/>
    <x v="11"/>
    <n v="700"/>
    <n v="87"/>
    <n v="3.11"/>
    <n v="270.57"/>
    <n v="429.43"/>
  </r>
  <r>
    <m/>
    <x v="4"/>
    <x v="3"/>
    <x v="18"/>
    <n v="630"/>
    <n v="36"/>
    <n v="6.49"/>
    <n v="233.64000000000001"/>
    <n v="396.36"/>
  </r>
  <r>
    <m/>
    <x v="3"/>
    <x v="5"/>
    <x v="15"/>
    <n v="623"/>
    <n v="51"/>
    <n v="4.97"/>
    <n v="253.47"/>
    <n v="369.53"/>
  </r>
  <r>
    <m/>
    <x v="3"/>
    <x v="5"/>
    <x v="16"/>
    <n v="609"/>
    <n v="87"/>
    <n v="5.6"/>
    <n v="487.2"/>
    <n v="121.80000000000001"/>
  </r>
  <r>
    <m/>
    <x v="5"/>
    <x v="2"/>
    <x v="19"/>
    <n v="609"/>
    <n v="99"/>
    <n v="7.64"/>
    <n v="756.36"/>
    <n v="-147.36000000000001"/>
  </r>
  <r>
    <m/>
    <x v="2"/>
    <x v="2"/>
    <x v="20"/>
    <n v="567"/>
    <n v="228"/>
    <n v="9"/>
    <n v="2052"/>
    <n v="-1485"/>
  </r>
  <r>
    <m/>
    <x v="7"/>
    <x v="4"/>
    <x v="9"/>
    <n v="560"/>
    <n v="81"/>
    <n v="14.49"/>
    <n v="1173.69"/>
    <n v="-613.69000000000005"/>
  </r>
  <r>
    <m/>
    <x v="4"/>
    <x v="2"/>
    <x v="19"/>
    <n v="553"/>
    <n v="15"/>
    <n v="7.64"/>
    <n v="114.6"/>
    <n v="438.4"/>
  </r>
  <r>
    <m/>
    <x v="7"/>
    <x v="1"/>
    <x v="10"/>
    <n v="525"/>
    <n v="48"/>
    <n v="11.88"/>
    <n v="570.24"/>
    <n v="-45.240000000000009"/>
  </r>
  <r>
    <m/>
    <x v="0"/>
    <x v="4"/>
    <x v="12"/>
    <n v="518"/>
    <n v="75"/>
    <n v="9.77"/>
    <n v="732.75"/>
    <n v="-214.75"/>
  </r>
  <r>
    <m/>
    <x v="7"/>
    <x v="0"/>
    <x v="20"/>
    <n v="497"/>
    <n v="63"/>
    <n v="9"/>
    <n v="567"/>
    <n v="-70"/>
  </r>
  <r>
    <m/>
    <x v="0"/>
    <x v="2"/>
    <x v="12"/>
    <n v="490"/>
    <n v="84"/>
    <n v="9.77"/>
    <n v="820.68"/>
    <n v="-330.67999999999995"/>
  </r>
  <r>
    <m/>
    <x v="7"/>
    <x v="5"/>
    <x v="17"/>
    <n v="469"/>
    <n v="75"/>
    <n v="13.15"/>
    <n v="986.25"/>
    <n v="-517.25"/>
  </r>
  <r>
    <m/>
    <x v="8"/>
    <x v="4"/>
    <x v="20"/>
    <n v="434"/>
    <n v="87"/>
    <n v="9"/>
    <n v="783"/>
    <n v="-349"/>
  </r>
  <r>
    <m/>
    <x v="0"/>
    <x v="3"/>
    <x v="6"/>
    <n v="385"/>
    <n v="249"/>
    <n v="6.47"/>
    <n v="1611.03"/>
    <n v="-1226.03"/>
  </r>
  <r>
    <m/>
    <x v="8"/>
    <x v="2"/>
    <x v="4"/>
    <n v="357"/>
    <n v="126"/>
    <n v="12.37"/>
    <n v="1558.62"/>
    <n v="-1201.6199999999999"/>
  </r>
  <r>
    <m/>
    <x v="5"/>
    <x v="1"/>
    <x v="12"/>
    <n v="336"/>
    <n v="144"/>
    <n v="9.77"/>
    <n v="1406.8799999999999"/>
    <n v="-1070.8799999999999"/>
  </r>
  <r>
    <m/>
    <x v="6"/>
    <x v="0"/>
    <x v="5"/>
    <n v="280"/>
    <n v="87"/>
    <n v="8.65"/>
    <n v="752.55000000000007"/>
    <n v="-472.55000000000007"/>
  </r>
  <r>
    <m/>
    <x v="1"/>
    <x v="4"/>
    <x v="10"/>
    <n v="259"/>
    <n v="207"/>
    <n v="11.88"/>
    <n v="2459.1600000000003"/>
    <n v="-2200.1600000000003"/>
  </r>
  <r>
    <m/>
    <x v="4"/>
    <x v="1"/>
    <x v="8"/>
    <n v="252"/>
    <n v="54"/>
    <n v="9.33"/>
    <n v="503.82"/>
    <n v="-251.82"/>
  </r>
  <r>
    <m/>
    <x v="2"/>
    <x v="4"/>
    <x v="20"/>
    <n v="245"/>
    <n v="288"/>
    <n v="9"/>
    <n v="2592"/>
    <n v="-2347"/>
  </r>
  <r>
    <m/>
    <x v="4"/>
    <x v="4"/>
    <x v="19"/>
    <n v="238"/>
    <n v="18"/>
    <n v="7.64"/>
    <n v="137.51999999999998"/>
    <n v="100.48000000000002"/>
  </r>
  <r>
    <m/>
    <x v="3"/>
    <x v="0"/>
    <x v="10"/>
    <n v="217"/>
    <n v="36"/>
    <n v="11.88"/>
    <n v="427.68"/>
    <n v="-210.68"/>
  </r>
  <r>
    <m/>
    <x v="4"/>
    <x v="0"/>
    <x v="11"/>
    <n v="189"/>
    <n v="48"/>
    <n v="3.11"/>
    <n v="149.28"/>
    <n v="39.72"/>
  </r>
  <r>
    <m/>
    <x v="0"/>
    <x v="4"/>
    <x v="14"/>
    <n v="182"/>
    <n v="48"/>
    <n v="5.79"/>
    <n v="277.92"/>
    <n v="-95.920000000000016"/>
  </r>
  <r>
    <m/>
    <x v="8"/>
    <x v="5"/>
    <x v="12"/>
    <n v="168"/>
    <n v="84"/>
    <n v="9.77"/>
    <n v="820.68"/>
    <n v="-652.67999999999995"/>
  </r>
  <r>
    <m/>
    <x v="5"/>
    <x v="5"/>
    <x v="17"/>
    <n v="154"/>
    <n v="21"/>
    <n v="13.15"/>
    <n v="276.15000000000003"/>
    <n v="-122.15000000000003"/>
  </r>
  <r>
    <m/>
    <x v="1"/>
    <x v="2"/>
    <x v="16"/>
    <n v="98"/>
    <n v="159"/>
    <n v="5.6"/>
    <n v="890.4"/>
    <n v="-792.4"/>
  </r>
  <r>
    <m/>
    <x v="5"/>
    <x v="0"/>
    <x v="16"/>
    <n v="98"/>
    <n v="204"/>
    <n v="5.6"/>
    <n v="1142.3999999999999"/>
    <n v="-1044.3999999999999"/>
  </r>
  <r>
    <m/>
    <x v="2"/>
    <x v="5"/>
    <x v="8"/>
    <n v="63"/>
    <n v="123"/>
    <n v="9.33"/>
    <n v="1147.5899999999999"/>
    <n v="-1084.5899999999999"/>
  </r>
  <r>
    <m/>
    <x v="4"/>
    <x v="5"/>
    <x v="8"/>
    <n v="56"/>
    <n v="51"/>
    <n v="9.33"/>
    <n v="475.83"/>
    <n v="-419.83"/>
  </r>
  <r>
    <m/>
    <x v="8"/>
    <x v="4"/>
    <x v="9"/>
    <n v="42"/>
    <n v="150"/>
    <n v="14.49"/>
    <n v="2173.5"/>
    <n v="-2131.5"/>
  </r>
  <r>
    <m/>
    <x v="9"/>
    <x v="3"/>
    <x v="0"/>
    <n v="21"/>
    <n v="168"/>
    <n v="8.7899999999999991"/>
    <n v="1476.7199999999998"/>
    <n v="-1455.7199999999998"/>
  </r>
  <r>
    <m/>
    <x v="3"/>
    <x v="3"/>
    <x v="13"/>
    <n v="0"/>
    <n v="135"/>
    <n v="7.16"/>
    <n v="966.6"/>
    <n v="-96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E1082B-AD7A-45E2-A06F-825A845FE6C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6:E12" firstHeaderRow="0" firstDataRow="1" firstDataCol="1"/>
  <pivotFields count="9">
    <pivotField showAll="0"/>
    <pivotField showAll="0">
      <items count="11">
        <item x="4"/>
        <item x="8"/>
        <item x="5"/>
        <item x="6"/>
        <item x="7"/>
        <item x="0"/>
        <item x="9"/>
        <item x="1"/>
        <item x="2"/>
        <item x="3"/>
        <item t="default"/>
      </items>
    </pivotField>
    <pivotField axis="axisRow" showAll="0" sortType="descending">
      <items count="7">
        <item x="5"/>
        <item x="0"/>
        <item x="1"/>
        <item x="4"/>
        <item x="3"/>
        <item x="2"/>
        <item t="default"/>
      </items>
      <autoSortScope>
        <pivotArea dataOnly="0" outline="0" fieldPosition="0">
          <references count="1">
            <reference field="4294967294" count="1" selected="0">
              <x v="0"/>
            </reference>
          </references>
        </pivotArea>
      </autoSortScope>
    </pivotField>
    <pivotField showAll="0">
      <items count="23">
        <item x="21"/>
        <item x="9"/>
        <item x="15"/>
        <item x="19"/>
        <item x="12"/>
        <item x="10"/>
        <item x="16"/>
        <item x="2"/>
        <item x="5"/>
        <item x="6"/>
        <item x="11"/>
        <item x="18"/>
        <item x="13"/>
        <item x="8"/>
        <item x="0"/>
        <item x="1"/>
        <item x="7"/>
        <item x="4"/>
        <item x="3"/>
        <item x="14"/>
        <item x="20"/>
        <item x="17"/>
        <item t="default"/>
      </items>
    </pivotField>
    <pivotField dataField="1" numFmtId="164" showAll="0"/>
    <pivotField dataField="1" numFmtId="3" showAll="0"/>
    <pivotField showAll="0"/>
    <pivotField showAll="0"/>
    <pivotField numFmtId="164" showAll="0"/>
  </pivotFields>
  <rowFields count="1">
    <field x="2"/>
  </rowFields>
  <rowItems count="6">
    <i>
      <x v="2"/>
    </i>
    <i>
      <x v="1"/>
    </i>
    <i>
      <x v="3"/>
    </i>
    <i>
      <x v="5"/>
    </i>
    <i>
      <x v="4"/>
    </i>
    <i>
      <x/>
    </i>
  </rowItems>
  <colFields count="1">
    <field x="-2"/>
  </colFields>
  <colItems count="3">
    <i>
      <x/>
    </i>
    <i i="1">
      <x v="1"/>
    </i>
    <i i="2">
      <x v="2"/>
    </i>
  </colItems>
  <dataFields count="3">
    <dataField name="Sum of Amount" fld="4" baseField="0" baseItem="0" numFmtId="164"/>
    <dataField name="Sum of Amount2" fld="4" baseField="0" baseItem="0" numFmtId="164"/>
    <dataField name="Sum of Units" fld="5" baseField="0" baseItem="0" numFmtId="3"/>
  </dataFields>
  <conditionalFormats count="1">
    <conditionalFormat scope="field" priority="1">
      <pivotAreas count="1">
        <pivotArea outline="0" collapsedLevelsAreSubtotals="1" fieldPosition="0">
          <references count="2">
            <reference field="4294967294" count="1" selected="0">
              <x v="1"/>
            </reference>
            <reference field="2" count="0" selected="0"/>
          </references>
        </pivotArea>
      </pivotAreas>
    </conditionalFormat>
  </conditional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3F4C3B-2F1C-4EE0-8130-C26DCA5FB76F}" name="PivotTable9" cacheId="2" applyNumberFormats="0" applyBorderFormats="0" applyFontFormats="0" applyPatternFormats="0" applyAlignmentFormats="0" applyWidthHeightFormats="1" dataCaption="Values" tag="6ab13668-862b-4183-8961-3a974372e4f3" updatedVersion="8" minRefreshableVersion="3" useAutoFormatting="1" subtotalHiddenItems="1" itemPrintTitles="1" createdVersion="8" indent="0" outline="1" outlineData="1" multipleFieldFilters="0">
  <location ref="A3:B9"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i>
    <i>
      <x v="2"/>
    </i>
    <i>
      <x v="1"/>
    </i>
    <i t="grand">
      <x/>
    </i>
  </rowItems>
  <colItems count="1">
    <i/>
  </colItems>
  <dataFields count="1">
    <dataField fld="1" subtotal="count" baseField="0" baseItem="0" numFmtId="167"/>
  </dataFields>
  <formats count="2">
    <format dxfId="16">
      <pivotArea outline="0" collapsedLevelsAreSubtotals="1" fieldPosition="0">
        <references count="1">
          <reference field="4294967294" count="1" selected="0">
            <x v="0"/>
          </reference>
        </references>
      </pivotArea>
    </format>
    <format dxfId="15">
      <pivotArea dataOnly="0" labelOnly="1" outline="0" fieldPosition="0">
        <references count="1">
          <reference field="4294967294" count="1">
            <x v="0"/>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646F78-5BFB-4177-A3DC-66A3F73ABBBE}"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7:H19" firstHeaderRow="1" firstDataRow="1" firstDataCol="1"/>
  <pivotFields count="9">
    <pivotField showAll="0" defaultSubtotal="0"/>
    <pivotField axis="axisRow" showAll="0" measureFilter="1" sortType="descending" defaultSubtotal="0">
      <items count="10">
        <item x="4"/>
        <item x="8"/>
        <item x="5"/>
        <item x="6"/>
        <item x="7"/>
        <item x="0"/>
        <item x="9"/>
        <item x="1"/>
        <item x="2"/>
        <item x="3"/>
      </items>
      <autoSortScope>
        <pivotArea dataOnly="0" outline="0" fieldPosition="0">
          <references count="1">
            <reference field="4294967294" count="1" selected="0">
              <x v="0"/>
            </reference>
          </references>
        </pivotArea>
      </autoSortScope>
    </pivotField>
    <pivotField axis="axisRow" showAll="0" defaultSubtotal="0">
      <items count="6">
        <item x="5"/>
        <item x="0"/>
        <item x="1"/>
        <item x="4"/>
        <item x="3"/>
        <item x="2"/>
      </items>
    </pivotField>
    <pivotField showAll="0" defaultSubtotal="0"/>
    <pivotField dataField="1" numFmtId="164" showAll="0" defaultSubtotal="0"/>
    <pivotField numFmtId="3" showAll="0" defaultSubtotal="0"/>
    <pivotField subtotalTop="0" showAll="0" defaultSubtotal="0"/>
    <pivotField subtotalTop="0" showAll="0" defaultSubtotal="0"/>
    <pivotField numFmtId="164" subtotalTop="0" showAll="0" defaultSubtotal="0"/>
  </pivotFields>
  <rowFields count="2">
    <field x="2"/>
    <field x="1"/>
  </rowFields>
  <rowItems count="12">
    <i>
      <x/>
    </i>
    <i r="1">
      <x v="2"/>
    </i>
    <i>
      <x v="1"/>
    </i>
    <i r="1">
      <x v="1"/>
    </i>
    <i>
      <x v="2"/>
    </i>
    <i r="1">
      <x v="1"/>
    </i>
    <i>
      <x v="3"/>
    </i>
    <i r="1">
      <x v="8"/>
    </i>
    <i>
      <x v="4"/>
    </i>
    <i r="1">
      <x v="2"/>
    </i>
    <i>
      <x v="5"/>
    </i>
    <i r="1">
      <x/>
    </i>
  </rowItems>
  <colItems count="1">
    <i/>
  </colItems>
  <dataFields count="1">
    <dataField name="Sum of Amount" fld="4" baseField="0" baseItem="0" numFmtId="164"/>
  </dataFields>
  <pivotTableStyleInfo name="PivotStyleLight16" showRowHeaders="1" showColHeaders="1" showRowStripes="0" showColStripes="0" showLastColumn="1"/>
  <filters count="1">
    <filter fld="1"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0CFAE9-C62B-4EAE-A3C5-4A5F3449000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7:D19" firstHeaderRow="1" firstDataRow="1" firstDataCol="1"/>
  <pivotFields count="9">
    <pivotField showAll="0" defaultSubtotal="0"/>
    <pivotField axis="axisRow" showAll="0" measureFilter="1" sortType="descending" defaultSubtotal="0">
      <items count="10">
        <item x="4"/>
        <item x="8"/>
        <item x="5"/>
        <item x="6"/>
        <item x="7"/>
        <item x="0"/>
        <item x="9"/>
        <item x="1"/>
        <item x="2"/>
        <item x="3"/>
      </items>
      <autoSortScope>
        <pivotArea dataOnly="0" outline="0" fieldPosition="0">
          <references count="1">
            <reference field="4294967294" count="1" selected="0">
              <x v="0"/>
            </reference>
          </references>
        </pivotArea>
      </autoSortScope>
    </pivotField>
    <pivotField axis="axisRow" showAll="0" defaultSubtotal="0">
      <items count="6">
        <item x="5"/>
        <item x="0"/>
        <item x="1"/>
        <item x="4"/>
        <item x="3"/>
        <item x="2"/>
      </items>
    </pivotField>
    <pivotField showAll="0" defaultSubtotal="0"/>
    <pivotField dataField="1" numFmtId="164" showAll="0" defaultSubtotal="0"/>
    <pivotField numFmtId="3" showAll="0" defaultSubtotal="0"/>
    <pivotField subtotalTop="0" showAll="0" defaultSubtotal="0"/>
    <pivotField subtotalTop="0" showAll="0" defaultSubtotal="0"/>
    <pivotField numFmtId="164" subtotalTop="0" showAll="0" defaultSubtotal="0"/>
  </pivotFields>
  <rowFields count="2">
    <field x="2"/>
    <field x="1"/>
  </rowFields>
  <rowItems count="12">
    <i>
      <x/>
    </i>
    <i r="1">
      <x v="5"/>
    </i>
    <i>
      <x v="1"/>
    </i>
    <i r="1">
      <x v="5"/>
    </i>
    <i>
      <x v="2"/>
    </i>
    <i r="1">
      <x v="5"/>
    </i>
    <i>
      <x v="3"/>
    </i>
    <i r="1">
      <x v="3"/>
    </i>
    <i>
      <x v="4"/>
    </i>
    <i r="1">
      <x/>
    </i>
    <i>
      <x v="5"/>
    </i>
    <i r="1">
      <x v="9"/>
    </i>
  </rowItems>
  <colItems count="1">
    <i/>
  </colItems>
  <dataFields count="1">
    <dataField name="Sum of Amount" fld="4" baseField="0" baseItem="0" numFmtId="164"/>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2295BB-58B9-44DE-848E-E2D95CBA10D4}" name="PivotTable3" cacheId="3" applyNumberFormats="0" applyBorderFormats="0" applyFontFormats="0" applyPatternFormats="0" applyAlignmentFormats="0" applyWidthHeightFormats="1" dataCaption="Values" tag="960077bc-0370-41a6-8bd5-02b400e51b4d" updatedVersion="8" minRefreshableVersion="3" useAutoFormatting="1" subtotalHiddenItems="1" itemPrintTitles="1" createdVersion="8" indent="0" outline="1" outlineData="1" multipleFieldFilters="0">
  <location ref="F8:G31" firstHeaderRow="1" firstDataRow="1" firstDataCol="1"/>
  <pivotFields count="4">
    <pivotField axis="axisRow" allDrilled="1" showAll="0" dataSourceSort="1" defaultAttributeDrillState="1">
      <items count="23">
        <item x="0"/>
        <item x="1"/>
        <item x="2"/>
        <item x="3"/>
        <item x="4"/>
        <item x="5"/>
        <item x="6"/>
        <item x="7"/>
        <item x="8"/>
        <item x="9"/>
        <item x="10"/>
        <item x="11"/>
        <item x="12"/>
        <item x="13"/>
        <item x="14"/>
        <item x="15"/>
        <item x="16"/>
        <item x="17"/>
        <item x="18"/>
        <item x="19"/>
        <item x="20"/>
        <item x="21"/>
        <item t="default"/>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fld="1" subtotal="count" baseField="0" baseItem="0" numFmtId="44"/>
  </dataFields>
  <formats count="2">
    <format dxfId="8">
      <pivotArea outline="0" collapsedLevelsAreSubtotals="1" fieldPosition="0"/>
    </format>
    <format dxfId="7">
      <pivotArea dataOnly="0" labelOnly="1" outline="0" axis="axisValues" fieldPosition="0"/>
    </format>
  </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products]"/>
        <x15:activeTabTopLevelEntity name="[products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B9F1E5-5287-418C-BF89-9523764C7018}"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25"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4">
    <i>
      <x/>
    </i>
    <i i="1">
      <x v="1"/>
    </i>
    <i i="2">
      <x v="2"/>
    </i>
    <i i="3">
      <x v="3"/>
    </i>
  </colItems>
  <dataFields count="4">
    <dataField name="Sum of Amount" fld="0" baseField="0" baseItem="0" numFmtId="169"/>
    <dataField name="Sum of Units" fld="1" baseField="0" baseItem="0"/>
    <dataField fld="2" subtotal="count" baseField="0" baseItem="0" numFmtId="169"/>
    <dataField fld="4" subtotal="count" baseField="0" baseItem="0" numFmtId="9"/>
  </dataFields>
  <formats count="6">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0"/>
          </reference>
        </references>
      </pivotArea>
    </format>
    <format dxfId="4">
      <pivotArea field="3" type="button" dataOnly="0" labelOnly="1" outline="0" axis="axisRow" fieldPosition="0"/>
    </format>
    <format dxfId="3">
      <pivotArea outline="0" collapsedLevelsAreSubtotals="1" fieldPosition="0">
        <references count="1">
          <reference field="4294967294" count="1" selected="0">
            <x v="3"/>
          </reference>
        </references>
      </pivotArea>
    </format>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3"/>
          </reference>
        </references>
      </pivotArea>
    </format>
  </formats>
  <conditionalFormats count="1">
    <conditionalFormat priority="1">
      <pivotAreas count="1">
        <pivotArea type="data" outline="0" collapsedLevelsAreSubtotals="1" fieldPosition="0">
          <references count="1">
            <reference field="4294967294" count="1" selected="0">
              <x v="3"/>
            </reference>
          </references>
        </pivotArea>
      </pivotAreas>
    </conditionalFormat>
  </conditionalFormats>
  <pivotHierarchies count="25">
    <pivotHierarchy dragToData="1"/>
    <pivotHierarchy dragToData="1"/>
    <pivotHierarchy multipleItemSelectionAllowed="1" dragToData="1">
      <members count="1" level="1">
        <member name="[data].[Geography].&amp;[India]"/>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DC09CB65-2326-4C67-9D78-EF0CDF7136D3}" sourceName="Sales Person">
  <pivotTables>
    <pivotTable tabId="6" name="PivotTable2"/>
  </pivotTables>
  <data>
    <tabular pivotCacheId="1276304699">
      <items count="10">
        <i x="4" s="1"/>
        <i x="8" s="1"/>
        <i x="5" s="1"/>
        <i x="6" s="1"/>
        <i x="7" s="1"/>
        <i x="0" s="1"/>
        <i x="9"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9E253C5-17D8-4AD6-B637-BE3F1BBD61BA}" sourceName="Product">
  <pivotTables>
    <pivotTable tabId="6" name="PivotTable2"/>
  </pivotTables>
  <data>
    <tabular pivotCacheId="1276304699">
      <items count="22">
        <i x="21" s="1"/>
        <i x="9" s="1"/>
        <i x="15" s="1"/>
        <i x="19" s="1"/>
        <i x="12" s="1"/>
        <i x="10" s="1"/>
        <i x="16" s="1"/>
        <i x="2" s="1"/>
        <i x="5" s="1"/>
        <i x="6" s="1"/>
        <i x="11" s="1"/>
        <i x="18" s="1"/>
        <i x="13" s="1"/>
        <i x="8" s="1"/>
        <i x="0" s="1"/>
        <i x="1" s="1"/>
        <i x="7" s="1"/>
        <i x="4" s="1"/>
        <i x="3" s="1"/>
        <i x="14" s="1"/>
        <i x="20"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1" xr10:uid="{F7CC289A-9E6D-49F5-AEA0-D4DE4E439B04}" sourceName="[data].[Sales Person]">
  <pivotTables>
    <pivotTable tabId="17" name="PivotTable3"/>
  </pivotTables>
  <data>
    <olap pivotCacheId="655976470">
      <levels count="2">
        <level uniqueName="[data].[Sales Person].[(All)]" sourceCaption="(All)" count="0"/>
        <level uniqueName="[data].[Sales Person].[Sales Person]" sourceCaption="Sales Person" count="10">
          <ranges>
            <range startItem="0">
              <i n="[data].[Sales Person].&amp;[Barr Faughny]" c="Barr Faughny"/>
              <i n="[data].[Sales Person].&amp;[Brien Boise]" c="Brien Boise"/>
              <i n="[data].[Sales Person].&amp;[Carla Molina]" c="Carla Molina"/>
              <i n="[data].[Sales Person].&amp;[Ches Bonnell]" c="Ches Bonnell"/>
              <i n="[data].[Sales Person].&amp;[Curtice Advani]" c="Curtice Advani"/>
              <i n="[data].[Sales Person].&amp;[Gigi Bohling]" c="Gigi Bohling"/>
              <i n="[data].[Sales Person].&amp;[Gunar Cockshoot]" c="Gunar Cockshoot"/>
              <i n="[data].[Sales Person].&amp;[Husein Augar]" c="Husein Augar"/>
              <i n="[data].[Sales Person].&amp;[Oby Sorrel]" c="Oby Sorrel"/>
              <i n="[data].[Sales Person].&amp;[Ram Mahesh]" c="Ram Mahesh"/>
            </range>
          </ranges>
        </level>
      </levels>
      <selections count="1">
        <selection n="[data].[Sales 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B234C71B-1DF7-4093-8AE5-6EAF2DCAFD76}" sourceName="[data].[Geography]">
  <pivotTables>
    <pivotTable tabId="17" name="PivotTable3"/>
  </pivotTables>
  <data>
    <olap pivotCacheId="655976470">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6DD4B975-1827-4CE3-B9F9-364603DBF319}" sourceName="[data].[Geography]">
  <pivotTables>
    <pivotTable tabId="25" name="PivotTable4"/>
  </pivotTables>
  <data>
    <olap pivotCacheId="376011576">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mp;[Ind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A7B5868B-CE3B-4909-B0C0-FDE8B96B8E05}" cache="Slicer_Sales_Person" caption="Sales Person" columnCount="2" rowHeight="241300"/>
  <slicer name="Product" xr10:uid="{2A37383B-FF3C-4983-BDB2-92C0A787F2F0}" cache="Slicer_Product" caption="Product"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69691705-8BFD-4750-8A25-0E6389C2CC4F}" cache="Slicer_Sales_Person1" caption="Sales Person" columnCount="2" level="1" rowHeight="241300"/>
  <slicer name="Geography" xr10:uid="{7682AEF8-996A-4AEF-962B-1CB8D41F68A9}" cache="Slicer_Geography" caption="Geograph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8C132295-0B90-4D81-BC20-AE96A84504CF}" cache="Slicer_Geography1" caption="Geograph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Z11:AA33" totalsRowShown="0">
  <autoFilter ref="Z11:AA33" xr:uid="{6DAC1E92-D947-4232-891E-65555AD7A47E}"/>
  <tableColumns count="2">
    <tableColumn id="1" xr3:uid="{1B8963D1-E60F-4400-A175-651A513B826F}" name="Product"/>
    <tableColumn id="2" xr3:uid="{1798A7DA-FB9F-46D3-AA0A-B6BCA4A81AC3}" name="Cost per unit"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0E5EFD-13CE-4FFE-A4BE-9D59EDAEB90B}" name="data" displayName="data" ref="B10:J310" totalsRowShown="0" headerRowDxfId="26">
  <autoFilter ref="B10:J310" xr:uid="{980E5EFD-13CE-4FFE-A4BE-9D59EDAEB90B}"/>
  <sortState xmlns:xlrd2="http://schemas.microsoft.com/office/spreadsheetml/2017/richdata2" ref="B11:G310">
    <sortCondition descending="1" ref="F10:F310"/>
  </sortState>
  <tableColumns count="9">
    <tableColumn id="1" xr3:uid="{A5B088EF-83A1-4B85-BCE3-013A9ECDD2DD}" name="Column1"/>
    <tableColumn id="2" xr3:uid="{8B89E7E2-D496-4348-8F82-15816DCFBDA6}" name="Sales Person"/>
    <tableColumn id="3" xr3:uid="{78B0A555-C7A3-4E89-90B5-33BE606308CD}" name="Geography"/>
    <tableColumn id="4" xr3:uid="{5E705551-9DAE-4040-9982-122193DDAE73}" name="Product"/>
    <tableColumn id="5" xr3:uid="{49A80EB2-DC8C-4D30-840D-22A559588019}" name="Amount" dataDxfId="25"/>
    <tableColumn id="6" xr3:uid="{CFACAEC0-5A21-4E29-BEA2-8AF34BA87E32}" name="Units" dataDxfId="24"/>
    <tableColumn id="7" xr3:uid="{46A52B55-4CAD-44DD-96C0-6DB97CC44145}" name="Cost per unit" dataDxfId="23">
      <calculatedColumnFormula>_xlfn.XLOOKUP(data[[#This Row],[Product]],products[Product],products[Cost per unit])</calculatedColumnFormula>
    </tableColumn>
    <tableColumn id="8" xr3:uid="{4A02BC14-8CC2-4FD4-8735-10F57EB4BB17}" name="Cost" dataDxfId="22">
      <calculatedColumnFormula>data[[#This Row],[Units]]*data[[#This Row],[Cost per unit]]</calculatedColumnFormula>
    </tableColumn>
    <tableColumn id="11" xr3:uid="{6EB9C5B0-423E-4E7F-B241-60A6DBA676A4}" name="Profit" dataDxfId="21">
      <calculatedColumnFormula>data[[#This Row],[Amount]]-data[[#This Row],[Cost]]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9596C4-90F0-4F7F-A5FC-BBCBE58D2F75}" name="data5" displayName="data5" ref="B6:G306" totalsRowShown="0" headerRowDxfId="20">
  <autoFilter ref="B6:G306" xr:uid="{E89596C4-90F0-4F7F-A5FC-BBCBE58D2F75}">
    <filterColumn colId="4">
      <colorFilter dxfId="19" cellColor="0"/>
    </filterColumn>
  </autoFilter>
  <sortState xmlns:xlrd2="http://schemas.microsoft.com/office/spreadsheetml/2017/richdata2" ref="B7:G296">
    <sortCondition descending="1" ref="F6:F306"/>
  </sortState>
  <tableColumns count="6">
    <tableColumn id="1" xr3:uid="{8844916D-2415-4BA8-B94C-E7F4482216FE}" name="Column1"/>
    <tableColumn id="2" xr3:uid="{B357CF6F-EA83-47E8-912F-681C2900657D}" name="Sales Person"/>
    <tableColumn id="3" xr3:uid="{64E77290-DA54-4BF5-B231-5105A8C249A7}" name="Geography"/>
    <tableColumn id="4" xr3:uid="{E8303D20-D015-4A5B-B098-DAC5A63398E1}" name="Product"/>
    <tableColumn id="5" xr3:uid="{D6574D47-82F2-4FC4-B14D-5614C045BBC0}" name="Amount" dataDxfId="18"/>
    <tableColumn id="6" xr3:uid="{97C17691-686A-4739-B435-4A261CA051D5}" name="Units"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1865F2-7CA7-413D-954F-22A1F4DF37A9}" name="data6" displayName="data6" ref="S7:X307" totalsRowShown="0" headerRowDxfId="14">
  <autoFilter ref="S7:X307" xr:uid="{C71865F2-7CA7-413D-954F-22A1F4DF37A9}"/>
  <sortState xmlns:xlrd2="http://schemas.microsoft.com/office/spreadsheetml/2017/richdata2" ref="S8:X307">
    <sortCondition descending="1" ref="W10:W310"/>
  </sortState>
  <tableColumns count="6">
    <tableColumn id="1" xr3:uid="{590D0038-4FFF-4416-9B08-36899E45A897}" name="Column1"/>
    <tableColumn id="2" xr3:uid="{2206F214-76D1-41F7-BDD4-B039C22F6E27}" name="Sales Person"/>
    <tableColumn id="3" xr3:uid="{86AFD6AF-3231-48CD-A233-5C0F73C2F71A}" name="Geography"/>
    <tableColumn id="4" xr3:uid="{F76BC983-B910-4D6F-8531-9B2048D9420A}" name="Product"/>
    <tableColumn id="5" xr3:uid="{E5A1FAAE-72D3-437C-8AA7-CCB837F34AE4}" name="Amount" dataDxfId="13"/>
    <tableColumn id="6" xr3:uid="{FF16D651-15C1-49BA-AA1A-EE54C1BB2205}" name="Units" dataDxfId="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DA4421D-79E7-4356-8768-0610E98C8FDD}" name="data67" displayName="data67" ref="K7:P307" totalsRowShown="0" headerRowDxfId="11">
  <autoFilter ref="K7:P307" xr:uid="{5DA4421D-79E7-4356-8768-0610E98C8FDD}">
    <filterColumn colId="4">
      <top10 val="10" filterVal="10311"/>
    </filterColumn>
  </autoFilter>
  <sortState xmlns:xlrd2="http://schemas.microsoft.com/office/spreadsheetml/2017/richdata2" ref="K8:P307">
    <sortCondition descending="1" ref="O7:O307"/>
  </sortState>
  <tableColumns count="6">
    <tableColumn id="1" xr3:uid="{49C253AF-F89F-4DE3-9677-62D96DE25E01}" name="Column1"/>
    <tableColumn id="2" xr3:uid="{29AEA375-2DE4-47C3-9A52-C19FFDC785CA}" name="Sales Person"/>
    <tableColumn id="3" xr3:uid="{D8F63D59-AA15-41BF-945C-18895EE9FBB6}" name="Geography"/>
    <tableColumn id="4" xr3:uid="{E45BEDC0-D16C-4216-8FF3-2C74C08449B2}" name="Column2"/>
    <tableColumn id="5" xr3:uid="{A28BBFC3-A91C-455E-ADA2-A74B7C67F3F2}" name="Amount" dataDxfId="10"/>
    <tableColumn id="6" xr3:uid="{51EB21DF-DAD6-48D8-9165-565864ABF023}" name="Units"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AA658"/>
  <sheetViews>
    <sheetView showGridLines="0" tabSelected="1" zoomScale="113" zoomScaleNormal="113" workbookViewId="0">
      <selection activeCell="E1" sqref="E1"/>
    </sheetView>
  </sheetViews>
  <sheetFormatPr defaultRowHeight="14.4" x14ac:dyDescent="0.3"/>
  <cols>
    <col min="1" max="1" width="1.6640625" customWidth="1"/>
    <col min="2" max="2" width="10.6640625" customWidth="1"/>
    <col min="3" max="3" width="19.5546875" customWidth="1"/>
    <col min="4" max="4" width="14.6640625" customWidth="1"/>
    <col min="5" max="5" width="21.88671875" bestFit="1" customWidth="1"/>
    <col min="6" max="6" width="14.33203125" customWidth="1"/>
    <col min="7" max="7" width="8" customWidth="1"/>
    <col min="8" max="8" width="16.6640625" customWidth="1"/>
    <col min="11" max="11" width="3.88671875" customWidth="1"/>
    <col min="12" max="12" width="53.88671875" customWidth="1"/>
    <col min="26" max="26" width="21.88671875" bestFit="1" customWidth="1"/>
    <col min="27" max="27" width="14.44140625" customWidth="1"/>
    <col min="32" max="32" width="21.88671875" customWidth="1"/>
  </cols>
  <sheetData>
    <row r="1" spans="1:27" s="2" customFormat="1" ht="52.5" customHeight="1" x14ac:dyDescent="0.3">
      <c r="A1" s="1"/>
      <c r="C1" s="3" t="s">
        <v>88</v>
      </c>
    </row>
    <row r="10" spans="1:27" x14ac:dyDescent="0.3">
      <c r="B10" t="s">
        <v>56</v>
      </c>
      <c r="C10" s="6" t="s">
        <v>11</v>
      </c>
      <c r="D10" s="6" t="s">
        <v>12</v>
      </c>
      <c r="E10" s="6" t="s">
        <v>0</v>
      </c>
      <c r="F10" s="10" t="s">
        <v>1</v>
      </c>
      <c r="G10" s="10" t="s">
        <v>49</v>
      </c>
      <c r="H10" s="28" t="s">
        <v>50</v>
      </c>
      <c r="I10" s="6" t="s">
        <v>75</v>
      </c>
      <c r="J10" s="6" t="s">
        <v>76</v>
      </c>
    </row>
    <row r="11" spans="1:27" x14ac:dyDescent="0.3">
      <c r="C11" t="s">
        <v>5</v>
      </c>
      <c r="D11" t="s">
        <v>36</v>
      </c>
      <c r="E11" t="s">
        <v>16</v>
      </c>
      <c r="F11" s="4">
        <v>16184</v>
      </c>
      <c r="G11" s="5">
        <v>39</v>
      </c>
      <c r="H11">
        <f>_xlfn.XLOOKUP(data[[#This Row],[Product]],products[Product],products[Cost per unit])</f>
        <v>8.7899999999999991</v>
      </c>
      <c r="I11">
        <f>data[[#This Row],[Units]]*data[[#This Row],[Cost per unit]]</f>
        <v>342.80999999999995</v>
      </c>
      <c r="J11" s="4">
        <f>data[[#This Row],[Amount]]-data[[#This Row],[Cost]]</f>
        <v>15841.19</v>
      </c>
      <c r="K11" s="9" t="s">
        <v>42</v>
      </c>
      <c r="L11" s="2"/>
      <c r="Z11" t="s">
        <v>0</v>
      </c>
      <c r="AA11" t="s">
        <v>50</v>
      </c>
    </row>
    <row r="12" spans="1:27" x14ac:dyDescent="0.3">
      <c r="C12" t="s">
        <v>5</v>
      </c>
      <c r="D12" t="s">
        <v>34</v>
      </c>
      <c r="E12" t="s">
        <v>20</v>
      </c>
      <c r="F12" s="4">
        <v>15610</v>
      </c>
      <c r="G12" s="5">
        <v>339</v>
      </c>
      <c r="H12">
        <f>_xlfn.XLOOKUP(data[[#This Row],[Product]],products[Product],products[Cost per unit])</f>
        <v>10.62</v>
      </c>
      <c r="I12">
        <f>data[[#This Row],[Units]]*data[[#This Row],[Cost per unit]]</f>
        <v>3600.18</v>
      </c>
      <c r="J12" s="4">
        <f>data[[#This Row],[Amount]]-data[[#This Row],[Cost]]</f>
        <v>12009.82</v>
      </c>
      <c r="K12" s="7">
        <v>1</v>
      </c>
      <c r="L12" s="8" t="s">
        <v>43</v>
      </c>
      <c r="Z12" t="s">
        <v>13</v>
      </c>
      <c r="AA12" s="11">
        <v>9.33</v>
      </c>
    </row>
    <row r="13" spans="1:27" x14ac:dyDescent="0.3">
      <c r="C13" t="s">
        <v>9</v>
      </c>
      <c r="D13" t="s">
        <v>34</v>
      </c>
      <c r="E13" t="s">
        <v>28</v>
      </c>
      <c r="F13" s="4">
        <v>14329</v>
      </c>
      <c r="G13" s="5">
        <v>150</v>
      </c>
      <c r="H13">
        <f>_xlfn.XLOOKUP(data[[#This Row],[Product]],products[Product],products[Cost per unit])</f>
        <v>10.38</v>
      </c>
      <c r="I13">
        <f>data[[#This Row],[Units]]*data[[#This Row],[Cost per unit]]</f>
        <v>1557.0000000000002</v>
      </c>
      <c r="J13" s="4">
        <f>data[[#This Row],[Amount]]-data[[#This Row],[Cost]]</f>
        <v>12772</v>
      </c>
      <c r="K13" s="7">
        <v>2</v>
      </c>
      <c r="L13" s="8" t="s">
        <v>52</v>
      </c>
      <c r="Z13" t="s">
        <v>14</v>
      </c>
      <c r="AA13" s="11">
        <v>11.7</v>
      </c>
    </row>
    <row r="14" spans="1:27" x14ac:dyDescent="0.3">
      <c r="C14" t="s">
        <v>5</v>
      </c>
      <c r="D14" t="s">
        <v>35</v>
      </c>
      <c r="E14" t="s">
        <v>15</v>
      </c>
      <c r="F14" s="4">
        <v>13391</v>
      </c>
      <c r="G14" s="5">
        <v>201</v>
      </c>
      <c r="H14">
        <f>_xlfn.XLOOKUP(data[[#This Row],[Product]],products[Product],products[Cost per unit])</f>
        <v>11.73</v>
      </c>
      <c r="I14">
        <f>data[[#This Row],[Units]]*data[[#This Row],[Cost per unit]]</f>
        <v>2357.73</v>
      </c>
      <c r="J14" s="4">
        <f>data[[#This Row],[Amount]]-data[[#This Row],[Cost]]</f>
        <v>11033.27</v>
      </c>
      <c r="K14" s="7">
        <v>3</v>
      </c>
      <c r="L14" s="8" t="s">
        <v>44</v>
      </c>
      <c r="Z14" t="s">
        <v>4</v>
      </c>
      <c r="AA14" s="11">
        <v>11.88</v>
      </c>
    </row>
    <row r="15" spans="1:27" x14ac:dyDescent="0.3">
      <c r="C15" t="s">
        <v>10</v>
      </c>
      <c r="D15" t="s">
        <v>39</v>
      </c>
      <c r="E15" t="s">
        <v>33</v>
      </c>
      <c r="F15" s="4">
        <v>12950</v>
      </c>
      <c r="G15" s="5">
        <v>30</v>
      </c>
      <c r="H15">
        <f>_xlfn.XLOOKUP(data[[#This Row],[Product]],products[Product],products[Cost per unit])</f>
        <v>12.37</v>
      </c>
      <c r="I15">
        <f>data[[#This Row],[Units]]*data[[#This Row],[Cost per unit]]</f>
        <v>371.09999999999997</v>
      </c>
      <c r="J15" s="4">
        <f>data[[#This Row],[Amount]]-data[[#This Row],[Cost]]</f>
        <v>12578.9</v>
      </c>
      <c r="K15" s="7">
        <v>4</v>
      </c>
      <c r="L15" s="8" t="s">
        <v>45</v>
      </c>
      <c r="Z15" t="s">
        <v>15</v>
      </c>
      <c r="AA15" s="11">
        <v>11.73</v>
      </c>
    </row>
    <row r="16" spans="1:27" x14ac:dyDescent="0.3">
      <c r="C16" t="s">
        <v>40</v>
      </c>
      <c r="D16" t="s">
        <v>35</v>
      </c>
      <c r="E16" t="s">
        <v>32</v>
      </c>
      <c r="F16" s="4">
        <v>12348</v>
      </c>
      <c r="G16" s="5">
        <v>234</v>
      </c>
      <c r="H16">
        <f>_xlfn.XLOOKUP(data[[#This Row],[Product]],products[Product],products[Cost per unit])</f>
        <v>8.65</v>
      </c>
      <c r="I16">
        <f>data[[#This Row],[Units]]*data[[#This Row],[Cost per unit]]</f>
        <v>2024.1000000000001</v>
      </c>
      <c r="J16" s="4">
        <f>data[[#This Row],[Amount]]-data[[#This Row],[Cost]]</f>
        <v>10323.9</v>
      </c>
      <c r="K16" s="7">
        <v>5</v>
      </c>
      <c r="L16" s="8" t="s">
        <v>53</v>
      </c>
      <c r="Z16" t="s">
        <v>16</v>
      </c>
      <c r="AA16" s="11">
        <v>8.7899999999999991</v>
      </c>
    </row>
    <row r="17" spans="3:27" x14ac:dyDescent="0.3">
      <c r="C17" t="s">
        <v>2</v>
      </c>
      <c r="D17" t="s">
        <v>37</v>
      </c>
      <c r="E17" t="s">
        <v>18</v>
      </c>
      <c r="F17" s="4">
        <v>11571</v>
      </c>
      <c r="G17" s="5">
        <v>138</v>
      </c>
      <c r="H17">
        <f>_xlfn.XLOOKUP(data[[#This Row],[Product]],products[Product],products[Cost per unit])</f>
        <v>6.47</v>
      </c>
      <c r="I17">
        <f>data[[#This Row],[Units]]*data[[#This Row],[Cost per unit]]</f>
        <v>892.86</v>
      </c>
      <c r="J17" s="4">
        <f>data[[#This Row],[Amount]]-data[[#This Row],[Cost]]</f>
        <v>10678.14</v>
      </c>
      <c r="K17" s="7">
        <v>6</v>
      </c>
      <c r="L17" s="8" t="s">
        <v>54</v>
      </c>
      <c r="Z17" t="s">
        <v>17</v>
      </c>
      <c r="AA17" s="11">
        <v>3.11</v>
      </c>
    </row>
    <row r="18" spans="3:27" x14ac:dyDescent="0.3">
      <c r="C18" t="s">
        <v>9</v>
      </c>
      <c r="D18" t="s">
        <v>36</v>
      </c>
      <c r="E18" t="s">
        <v>27</v>
      </c>
      <c r="F18" s="4">
        <v>11522</v>
      </c>
      <c r="G18" s="5">
        <v>204</v>
      </c>
      <c r="H18">
        <f>_xlfn.XLOOKUP(data[[#This Row],[Product]],products[Product],products[Cost per unit])</f>
        <v>16.73</v>
      </c>
      <c r="I18">
        <f>data[[#This Row],[Units]]*data[[#This Row],[Cost per unit]]</f>
        <v>3412.92</v>
      </c>
      <c r="J18" s="4">
        <f>data[[#This Row],[Amount]]-data[[#This Row],[Cost]]</f>
        <v>8109.08</v>
      </c>
      <c r="K18" s="7">
        <v>7</v>
      </c>
      <c r="L18" s="8" t="s">
        <v>48</v>
      </c>
      <c r="Z18" t="s">
        <v>18</v>
      </c>
      <c r="AA18" s="11">
        <v>6.47</v>
      </c>
    </row>
    <row r="19" spans="3:27" x14ac:dyDescent="0.3">
      <c r="C19" t="s">
        <v>2</v>
      </c>
      <c r="D19" t="s">
        <v>36</v>
      </c>
      <c r="E19" t="s">
        <v>16</v>
      </c>
      <c r="F19" s="4">
        <v>11417</v>
      </c>
      <c r="G19" s="5">
        <v>21</v>
      </c>
      <c r="H19">
        <f>_xlfn.XLOOKUP(data[[#This Row],[Product]],products[Product],products[Cost per unit])</f>
        <v>8.7899999999999991</v>
      </c>
      <c r="I19">
        <f>data[[#This Row],[Units]]*data[[#This Row],[Cost per unit]]</f>
        <v>184.58999999999997</v>
      </c>
      <c r="J19" s="4">
        <f>data[[#This Row],[Amount]]-data[[#This Row],[Cost]]</f>
        <v>11232.41</v>
      </c>
      <c r="K19" s="7">
        <v>8</v>
      </c>
      <c r="L19" s="8" t="s">
        <v>51</v>
      </c>
      <c r="Z19" t="s">
        <v>19</v>
      </c>
      <c r="AA19" s="11">
        <v>7.64</v>
      </c>
    </row>
    <row r="20" spans="3:27" x14ac:dyDescent="0.3">
      <c r="C20" t="s">
        <v>41</v>
      </c>
      <c r="D20" t="s">
        <v>36</v>
      </c>
      <c r="E20" t="s">
        <v>13</v>
      </c>
      <c r="F20" s="4">
        <v>10311</v>
      </c>
      <c r="G20" s="5">
        <v>231</v>
      </c>
      <c r="H20">
        <f>_xlfn.XLOOKUP(data[[#This Row],[Product]],products[Product],products[Cost per unit])</f>
        <v>9.33</v>
      </c>
      <c r="I20">
        <f>data[[#This Row],[Units]]*data[[#This Row],[Cost per unit]]</f>
        <v>2155.23</v>
      </c>
      <c r="J20" s="4">
        <f>data[[#This Row],[Amount]]-data[[#This Row],[Cost]]</f>
        <v>8155.77</v>
      </c>
      <c r="K20" s="7">
        <v>9</v>
      </c>
      <c r="L20" s="8" t="s">
        <v>46</v>
      </c>
      <c r="Z20" t="s">
        <v>20</v>
      </c>
      <c r="AA20" s="11">
        <v>10.62</v>
      </c>
    </row>
    <row r="21" spans="3:27" x14ac:dyDescent="0.3">
      <c r="C21" t="s">
        <v>41</v>
      </c>
      <c r="D21" t="s">
        <v>36</v>
      </c>
      <c r="E21" t="s">
        <v>32</v>
      </c>
      <c r="F21" s="4">
        <v>10304</v>
      </c>
      <c r="G21" s="5">
        <v>84</v>
      </c>
      <c r="H21">
        <f>_xlfn.XLOOKUP(data[[#This Row],[Product]],products[Product],products[Cost per unit])</f>
        <v>8.65</v>
      </c>
      <c r="I21">
        <f>data[[#This Row],[Units]]*data[[#This Row],[Cost per unit]]</f>
        <v>726.6</v>
      </c>
      <c r="J21" s="4">
        <f>data[[#This Row],[Amount]]-data[[#This Row],[Cost]]</f>
        <v>9577.4</v>
      </c>
      <c r="K21" s="7">
        <v>10</v>
      </c>
      <c r="L21" s="8" t="s">
        <v>47</v>
      </c>
      <c r="Z21" t="s">
        <v>21</v>
      </c>
      <c r="AA21" s="11">
        <v>9</v>
      </c>
    </row>
    <row r="22" spans="3:27" x14ac:dyDescent="0.3">
      <c r="C22" t="s">
        <v>7</v>
      </c>
      <c r="D22" t="s">
        <v>38</v>
      </c>
      <c r="E22" t="s">
        <v>30</v>
      </c>
      <c r="F22" s="4">
        <v>10129</v>
      </c>
      <c r="G22" s="5">
        <v>312</v>
      </c>
      <c r="H22">
        <f>_xlfn.XLOOKUP(data[[#This Row],[Product]],products[Product],products[Cost per unit])</f>
        <v>14.49</v>
      </c>
      <c r="I22">
        <f>data[[#This Row],[Units]]*data[[#This Row],[Cost per unit]]</f>
        <v>4520.88</v>
      </c>
      <c r="J22" s="4">
        <f>data[[#This Row],[Amount]]-data[[#This Row],[Cost]]</f>
        <v>5608.12</v>
      </c>
      <c r="Z22" t="s">
        <v>22</v>
      </c>
      <c r="AA22" s="11">
        <v>9.77</v>
      </c>
    </row>
    <row r="23" spans="3:27" x14ac:dyDescent="0.3">
      <c r="C23" t="s">
        <v>6</v>
      </c>
      <c r="D23" t="s">
        <v>36</v>
      </c>
      <c r="E23" t="s">
        <v>4</v>
      </c>
      <c r="F23" s="4">
        <v>10073</v>
      </c>
      <c r="G23" s="5">
        <v>120</v>
      </c>
      <c r="H23">
        <f>_xlfn.XLOOKUP(data[[#This Row],[Product]],products[Product],products[Cost per unit])</f>
        <v>11.88</v>
      </c>
      <c r="I23">
        <f>data[[#This Row],[Units]]*data[[#This Row],[Cost per unit]]</f>
        <v>1425.6000000000001</v>
      </c>
      <c r="J23" s="4">
        <f>data[[#This Row],[Amount]]-data[[#This Row],[Cost]]</f>
        <v>8647.4</v>
      </c>
      <c r="Z23" t="s">
        <v>23</v>
      </c>
      <c r="AA23" s="11">
        <v>6.49</v>
      </c>
    </row>
    <row r="24" spans="3:27" x14ac:dyDescent="0.3">
      <c r="C24" t="s">
        <v>2</v>
      </c>
      <c r="D24" t="s">
        <v>37</v>
      </c>
      <c r="E24" t="s">
        <v>17</v>
      </c>
      <c r="F24" s="4">
        <v>9926</v>
      </c>
      <c r="G24" s="5">
        <v>201</v>
      </c>
      <c r="H24">
        <f>_xlfn.XLOOKUP(data[[#This Row],[Product]],products[Product],products[Cost per unit])</f>
        <v>3.11</v>
      </c>
      <c r="I24">
        <f>data[[#This Row],[Units]]*data[[#This Row],[Cost per unit]]</f>
        <v>625.11</v>
      </c>
      <c r="J24" s="4">
        <f>data[[#This Row],[Amount]]-data[[#This Row],[Cost]]</f>
        <v>9300.89</v>
      </c>
      <c r="Z24" t="s">
        <v>24</v>
      </c>
      <c r="AA24" s="11">
        <v>4.97</v>
      </c>
    </row>
    <row r="25" spans="3:27" x14ac:dyDescent="0.3">
      <c r="C25" t="s">
        <v>7</v>
      </c>
      <c r="D25" t="s">
        <v>37</v>
      </c>
      <c r="E25" t="s">
        <v>22</v>
      </c>
      <c r="F25" s="4">
        <v>9835</v>
      </c>
      <c r="G25" s="5">
        <v>207</v>
      </c>
      <c r="H25">
        <f>_xlfn.XLOOKUP(data[[#This Row],[Product]],products[Product],products[Cost per unit])</f>
        <v>9.77</v>
      </c>
      <c r="I25">
        <f>data[[#This Row],[Units]]*data[[#This Row],[Cost per unit]]</f>
        <v>2022.3899999999999</v>
      </c>
      <c r="J25" s="4">
        <f>data[[#This Row],[Amount]]-data[[#This Row],[Cost]]</f>
        <v>7812.6100000000006</v>
      </c>
      <c r="Z25" t="s">
        <v>25</v>
      </c>
      <c r="AA25" s="11">
        <v>13.15</v>
      </c>
    </row>
    <row r="26" spans="3:27" x14ac:dyDescent="0.3">
      <c r="C26" t="s">
        <v>40</v>
      </c>
      <c r="D26" t="s">
        <v>36</v>
      </c>
      <c r="E26" t="s">
        <v>33</v>
      </c>
      <c r="F26" s="4">
        <v>9772</v>
      </c>
      <c r="G26" s="5">
        <v>90</v>
      </c>
      <c r="H26">
        <f>_xlfn.XLOOKUP(data[[#This Row],[Product]],products[Product],products[Cost per unit])</f>
        <v>12.37</v>
      </c>
      <c r="I26">
        <f>data[[#This Row],[Units]]*data[[#This Row],[Cost per unit]]</f>
        <v>1113.3</v>
      </c>
      <c r="J26" s="4">
        <f>data[[#This Row],[Amount]]-data[[#This Row],[Cost]]</f>
        <v>8658.7000000000007</v>
      </c>
      <c r="Z26" t="s">
        <v>26</v>
      </c>
      <c r="AA26" s="11">
        <v>5.6</v>
      </c>
    </row>
    <row r="27" spans="3:27" x14ac:dyDescent="0.3">
      <c r="C27" t="s">
        <v>8</v>
      </c>
      <c r="D27" t="s">
        <v>37</v>
      </c>
      <c r="E27" t="s">
        <v>15</v>
      </c>
      <c r="F27" s="4">
        <v>9709</v>
      </c>
      <c r="G27" s="5">
        <v>30</v>
      </c>
      <c r="H27">
        <f>_xlfn.XLOOKUP(data[[#This Row],[Product]],products[Product],products[Cost per unit])</f>
        <v>11.73</v>
      </c>
      <c r="I27">
        <f>data[[#This Row],[Units]]*data[[#This Row],[Cost per unit]]</f>
        <v>351.90000000000003</v>
      </c>
      <c r="J27" s="4">
        <f>data[[#This Row],[Amount]]-data[[#This Row],[Cost]]</f>
        <v>9357.1</v>
      </c>
      <c r="Z27" t="s">
        <v>27</v>
      </c>
      <c r="AA27" s="11">
        <v>16.73</v>
      </c>
    </row>
    <row r="28" spans="3:27" x14ac:dyDescent="0.3">
      <c r="C28" t="s">
        <v>8</v>
      </c>
      <c r="D28" t="s">
        <v>39</v>
      </c>
      <c r="E28" t="s">
        <v>18</v>
      </c>
      <c r="F28" s="4">
        <v>9660</v>
      </c>
      <c r="G28" s="5">
        <v>27</v>
      </c>
      <c r="H28">
        <f>_xlfn.XLOOKUP(data[[#This Row],[Product]],products[Product],products[Cost per unit])</f>
        <v>6.47</v>
      </c>
      <c r="I28">
        <f>data[[#This Row],[Units]]*data[[#This Row],[Cost per unit]]</f>
        <v>174.69</v>
      </c>
      <c r="J28" s="4">
        <f>data[[#This Row],[Amount]]-data[[#This Row],[Cost]]</f>
        <v>9485.31</v>
      </c>
      <c r="Z28" t="s">
        <v>28</v>
      </c>
      <c r="AA28" s="11">
        <v>10.38</v>
      </c>
    </row>
    <row r="29" spans="3:27" x14ac:dyDescent="0.3">
      <c r="C29" t="s">
        <v>41</v>
      </c>
      <c r="D29" t="s">
        <v>36</v>
      </c>
      <c r="E29" t="s">
        <v>18</v>
      </c>
      <c r="F29" s="4">
        <v>9632</v>
      </c>
      <c r="G29" s="5">
        <v>288</v>
      </c>
      <c r="H29">
        <f>_xlfn.XLOOKUP(data[[#This Row],[Product]],products[Product],products[Cost per unit])</f>
        <v>6.47</v>
      </c>
      <c r="I29">
        <f>data[[#This Row],[Units]]*data[[#This Row],[Cost per unit]]</f>
        <v>1863.36</v>
      </c>
      <c r="J29" s="4">
        <f>data[[#This Row],[Amount]]-data[[#This Row],[Cost]]</f>
        <v>7768.64</v>
      </c>
      <c r="Z29" t="s">
        <v>29</v>
      </c>
      <c r="AA29" s="11">
        <v>7.16</v>
      </c>
    </row>
    <row r="30" spans="3:27" x14ac:dyDescent="0.3">
      <c r="C30" t="s">
        <v>9</v>
      </c>
      <c r="D30" t="s">
        <v>38</v>
      </c>
      <c r="E30" t="s">
        <v>33</v>
      </c>
      <c r="F30" s="4">
        <v>9506</v>
      </c>
      <c r="G30" s="5">
        <v>87</v>
      </c>
      <c r="H30">
        <f>_xlfn.XLOOKUP(data[[#This Row],[Product]],products[Product],products[Cost per unit])</f>
        <v>12.37</v>
      </c>
      <c r="I30">
        <f>data[[#This Row],[Units]]*data[[#This Row],[Cost per unit]]</f>
        <v>1076.1899999999998</v>
      </c>
      <c r="J30" s="4">
        <f>data[[#This Row],[Amount]]-data[[#This Row],[Cost]]</f>
        <v>8429.81</v>
      </c>
      <c r="Z30" t="s">
        <v>30</v>
      </c>
      <c r="AA30" s="11">
        <v>14.49</v>
      </c>
    </row>
    <row r="31" spans="3:27" x14ac:dyDescent="0.3">
      <c r="C31" t="s">
        <v>2</v>
      </c>
      <c r="D31" t="s">
        <v>39</v>
      </c>
      <c r="E31" t="s">
        <v>20</v>
      </c>
      <c r="F31" s="4">
        <v>9443</v>
      </c>
      <c r="G31" s="5">
        <v>162</v>
      </c>
      <c r="H31">
        <f>_xlfn.XLOOKUP(data[[#This Row],[Product]],products[Product],products[Cost per unit])</f>
        <v>10.62</v>
      </c>
      <c r="I31">
        <f>data[[#This Row],[Units]]*data[[#This Row],[Cost per unit]]</f>
        <v>1720.4399999999998</v>
      </c>
      <c r="J31" s="4">
        <f>data[[#This Row],[Amount]]-data[[#This Row],[Cost]]</f>
        <v>7722.56</v>
      </c>
      <c r="Z31" t="s">
        <v>31</v>
      </c>
      <c r="AA31" s="11">
        <v>5.79</v>
      </c>
    </row>
    <row r="32" spans="3:27" x14ac:dyDescent="0.3">
      <c r="C32" t="s">
        <v>3</v>
      </c>
      <c r="D32" t="s">
        <v>36</v>
      </c>
      <c r="E32" t="s">
        <v>16</v>
      </c>
      <c r="F32" s="4">
        <v>9198</v>
      </c>
      <c r="G32" s="5">
        <v>36</v>
      </c>
      <c r="H32">
        <f>_xlfn.XLOOKUP(data[[#This Row],[Product]],products[Product],products[Cost per unit])</f>
        <v>8.7899999999999991</v>
      </c>
      <c r="I32">
        <f>data[[#This Row],[Units]]*data[[#This Row],[Cost per unit]]</f>
        <v>316.43999999999994</v>
      </c>
      <c r="J32" s="4">
        <f>data[[#This Row],[Amount]]-data[[#This Row],[Cost]]</f>
        <v>8881.56</v>
      </c>
      <c r="Z32" t="s">
        <v>32</v>
      </c>
      <c r="AA32" s="11">
        <v>8.65</v>
      </c>
    </row>
    <row r="33" spans="3:27" x14ac:dyDescent="0.3">
      <c r="C33" t="s">
        <v>9</v>
      </c>
      <c r="D33" t="s">
        <v>36</v>
      </c>
      <c r="E33" t="s">
        <v>30</v>
      </c>
      <c r="F33" s="4">
        <v>9051</v>
      </c>
      <c r="G33" s="5">
        <v>57</v>
      </c>
      <c r="H33">
        <f>_xlfn.XLOOKUP(data[[#This Row],[Product]],products[Product],products[Cost per unit])</f>
        <v>14.49</v>
      </c>
      <c r="I33">
        <f>data[[#This Row],[Units]]*data[[#This Row],[Cost per unit]]</f>
        <v>825.93000000000006</v>
      </c>
      <c r="J33" s="4">
        <f>data[[#This Row],[Amount]]-data[[#This Row],[Cost]]</f>
        <v>8225.07</v>
      </c>
      <c r="Z33" t="s">
        <v>33</v>
      </c>
      <c r="AA33" s="11">
        <v>12.37</v>
      </c>
    </row>
    <row r="34" spans="3:27" x14ac:dyDescent="0.3">
      <c r="C34" t="s">
        <v>40</v>
      </c>
      <c r="D34" t="s">
        <v>37</v>
      </c>
      <c r="E34" t="s">
        <v>29</v>
      </c>
      <c r="F34" s="4">
        <v>9002</v>
      </c>
      <c r="G34" s="5">
        <v>72</v>
      </c>
      <c r="H34">
        <f>_xlfn.XLOOKUP(data[[#This Row],[Product]],products[Product],products[Cost per unit])</f>
        <v>7.16</v>
      </c>
      <c r="I34">
        <f>data[[#This Row],[Units]]*data[[#This Row],[Cost per unit]]</f>
        <v>515.52</v>
      </c>
      <c r="J34" s="4">
        <f>data[[#This Row],[Amount]]-data[[#This Row],[Cost]]</f>
        <v>8486.48</v>
      </c>
    </row>
    <row r="35" spans="3:27" x14ac:dyDescent="0.3">
      <c r="C35" t="s">
        <v>8</v>
      </c>
      <c r="D35" t="s">
        <v>39</v>
      </c>
      <c r="E35" t="s">
        <v>31</v>
      </c>
      <c r="F35" s="4">
        <v>8890</v>
      </c>
      <c r="G35" s="5">
        <v>210</v>
      </c>
      <c r="H35">
        <f>_xlfn.XLOOKUP(data[[#This Row],[Product]],products[Product],products[Cost per unit])</f>
        <v>5.79</v>
      </c>
      <c r="I35">
        <f>data[[#This Row],[Units]]*data[[#This Row],[Cost per unit]]</f>
        <v>1215.9000000000001</v>
      </c>
      <c r="J35" s="4">
        <f>data[[#This Row],[Amount]]-data[[#This Row],[Cost]]</f>
        <v>7674.1</v>
      </c>
    </row>
    <row r="36" spans="3:27" x14ac:dyDescent="0.3">
      <c r="C36" t="s">
        <v>40</v>
      </c>
      <c r="D36" t="s">
        <v>35</v>
      </c>
      <c r="E36" t="s">
        <v>33</v>
      </c>
      <c r="F36" s="4">
        <v>8869</v>
      </c>
      <c r="G36" s="5">
        <v>432</v>
      </c>
      <c r="H36">
        <f>_xlfn.XLOOKUP(data[[#This Row],[Product]],products[Product],products[Cost per unit])</f>
        <v>12.37</v>
      </c>
      <c r="I36">
        <f>data[[#This Row],[Units]]*data[[#This Row],[Cost per unit]]</f>
        <v>5343.8399999999992</v>
      </c>
      <c r="J36" s="4">
        <f>data[[#This Row],[Amount]]-data[[#This Row],[Cost]]</f>
        <v>3525.1600000000008</v>
      </c>
    </row>
    <row r="37" spans="3:27" x14ac:dyDescent="0.3">
      <c r="C37" t="s">
        <v>7</v>
      </c>
      <c r="D37" t="s">
        <v>34</v>
      </c>
      <c r="E37" t="s">
        <v>24</v>
      </c>
      <c r="F37" s="4">
        <v>8862</v>
      </c>
      <c r="G37" s="5">
        <v>189</v>
      </c>
      <c r="H37">
        <f>_xlfn.XLOOKUP(data[[#This Row],[Product]],products[Product],products[Cost per unit])</f>
        <v>4.97</v>
      </c>
      <c r="I37">
        <f>data[[#This Row],[Units]]*data[[#This Row],[Cost per unit]]</f>
        <v>939.32999999999993</v>
      </c>
      <c r="J37" s="4">
        <f>data[[#This Row],[Amount]]-data[[#This Row],[Cost]]</f>
        <v>7922.67</v>
      </c>
    </row>
    <row r="38" spans="3:27" x14ac:dyDescent="0.3">
      <c r="C38" t="s">
        <v>3</v>
      </c>
      <c r="D38" t="s">
        <v>38</v>
      </c>
      <c r="E38" t="s">
        <v>26</v>
      </c>
      <c r="F38" s="4">
        <v>8841</v>
      </c>
      <c r="G38" s="5">
        <v>303</v>
      </c>
      <c r="H38">
        <f>_xlfn.XLOOKUP(data[[#This Row],[Product]],products[Product],products[Cost per unit])</f>
        <v>5.6</v>
      </c>
      <c r="I38">
        <f>data[[#This Row],[Units]]*data[[#This Row],[Cost per unit]]</f>
        <v>1696.8</v>
      </c>
      <c r="J38" s="4">
        <f>data[[#This Row],[Amount]]-data[[#This Row],[Cost]]</f>
        <v>7144.2</v>
      </c>
    </row>
    <row r="39" spans="3:27" x14ac:dyDescent="0.3">
      <c r="C39" t="s">
        <v>5</v>
      </c>
      <c r="D39" t="s">
        <v>37</v>
      </c>
      <c r="E39" t="s">
        <v>25</v>
      </c>
      <c r="F39" s="4">
        <v>8813</v>
      </c>
      <c r="G39" s="5">
        <v>21</v>
      </c>
      <c r="H39">
        <f>_xlfn.XLOOKUP(data[[#This Row],[Product]],products[Product],products[Cost per unit])</f>
        <v>13.15</v>
      </c>
      <c r="I39">
        <f>data[[#This Row],[Units]]*data[[#This Row],[Cost per unit]]</f>
        <v>276.15000000000003</v>
      </c>
      <c r="J39" s="4">
        <f>data[[#This Row],[Amount]]-data[[#This Row],[Cost]]</f>
        <v>8536.85</v>
      </c>
    </row>
    <row r="40" spans="3:27" x14ac:dyDescent="0.3">
      <c r="C40" t="s">
        <v>9</v>
      </c>
      <c r="D40" t="s">
        <v>34</v>
      </c>
      <c r="E40" t="s">
        <v>20</v>
      </c>
      <c r="F40" s="4">
        <v>8463</v>
      </c>
      <c r="G40" s="5">
        <v>492</v>
      </c>
      <c r="H40">
        <f>_xlfn.XLOOKUP(data[[#This Row],[Product]],products[Product],products[Cost per unit])</f>
        <v>10.62</v>
      </c>
      <c r="I40">
        <f>data[[#This Row],[Units]]*data[[#This Row],[Cost per unit]]</f>
        <v>5225.04</v>
      </c>
      <c r="J40" s="4">
        <f>data[[#This Row],[Amount]]-data[[#This Row],[Cost]]</f>
        <v>3237.96</v>
      </c>
    </row>
    <row r="41" spans="3:27" x14ac:dyDescent="0.3">
      <c r="C41" t="s">
        <v>7</v>
      </c>
      <c r="D41" t="s">
        <v>36</v>
      </c>
      <c r="E41" t="s">
        <v>22</v>
      </c>
      <c r="F41" s="4">
        <v>8435</v>
      </c>
      <c r="G41" s="5">
        <v>42</v>
      </c>
      <c r="H41">
        <f>_xlfn.XLOOKUP(data[[#This Row],[Product]],products[Product],products[Cost per unit])</f>
        <v>9.77</v>
      </c>
      <c r="I41">
        <f>data[[#This Row],[Units]]*data[[#This Row],[Cost per unit]]</f>
        <v>410.34</v>
      </c>
      <c r="J41" s="4">
        <f>data[[#This Row],[Amount]]-data[[#This Row],[Cost]]</f>
        <v>8024.66</v>
      </c>
    </row>
    <row r="42" spans="3:27" x14ac:dyDescent="0.3">
      <c r="C42" t="s">
        <v>2</v>
      </c>
      <c r="D42" t="s">
        <v>36</v>
      </c>
      <c r="E42" t="s">
        <v>29</v>
      </c>
      <c r="F42" s="4">
        <v>8211</v>
      </c>
      <c r="G42" s="5">
        <v>75</v>
      </c>
      <c r="H42">
        <f>_xlfn.XLOOKUP(data[[#This Row],[Product]],products[Product],products[Cost per unit])</f>
        <v>7.16</v>
      </c>
      <c r="I42">
        <f>data[[#This Row],[Units]]*data[[#This Row],[Cost per unit]]</f>
        <v>537</v>
      </c>
      <c r="J42" s="4">
        <f>data[[#This Row],[Amount]]-data[[#This Row],[Cost]]</f>
        <v>7674</v>
      </c>
    </row>
    <row r="43" spans="3:27" x14ac:dyDescent="0.3">
      <c r="C43" t="s">
        <v>9</v>
      </c>
      <c r="D43" t="s">
        <v>34</v>
      </c>
      <c r="E43" t="s">
        <v>23</v>
      </c>
      <c r="F43" s="4">
        <v>8155</v>
      </c>
      <c r="G43" s="5">
        <v>90</v>
      </c>
      <c r="H43">
        <f>_xlfn.XLOOKUP(data[[#This Row],[Product]],products[Product],products[Cost per unit])</f>
        <v>6.49</v>
      </c>
      <c r="I43">
        <f>data[[#This Row],[Units]]*data[[#This Row],[Cost per unit]]</f>
        <v>584.1</v>
      </c>
      <c r="J43" s="4">
        <f>data[[#This Row],[Amount]]-data[[#This Row],[Cost]]</f>
        <v>7570.9</v>
      </c>
    </row>
    <row r="44" spans="3:27" x14ac:dyDescent="0.3">
      <c r="C44" t="s">
        <v>6</v>
      </c>
      <c r="D44" t="s">
        <v>34</v>
      </c>
      <c r="E44" t="s">
        <v>26</v>
      </c>
      <c r="F44" s="4">
        <v>8008</v>
      </c>
      <c r="G44" s="5">
        <v>456</v>
      </c>
      <c r="H44">
        <f>_xlfn.XLOOKUP(data[[#This Row],[Product]],products[Product],products[Cost per unit])</f>
        <v>5.6</v>
      </c>
      <c r="I44">
        <f>data[[#This Row],[Units]]*data[[#This Row],[Cost per unit]]</f>
        <v>2553.6</v>
      </c>
      <c r="J44" s="4">
        <f>data[[#This Row],[Amount]]-data[[#This Row],[Cost]]</f>
        <v>5454.4</v>
      </c>
    </row>
    <row r="45" spans="3:27" x14ac:dyDescent="0.3">
      <c r="C45" t="s">
        <v>41</v>
      </c>
      <c r="D45" t="s">
        <v>34</v>
      </c>
      <c r="E45" t="s">
        <v>33</v>
      </c>
      <c r="F45" s="4">
        <v>7847</v>
      </c>
      <c r="G45" s="5">
        <v>174</v>
      </c>
      <c r="H45">
        <f>_xlfn.XLOOKUP(data[[#This Row],[Product]],products[Product],products[Cost per unit])</f>
        <v>12.37</v>
      </c>
      <c r="I45">
        <f>data[[#This Row],[Units]]*data[[#This Row],[Cost per unit]]</f>
        <v>2152.3799999999997</v>
      </c>
      <c r="J45" s="4">
        <f>data[[#This Row],[Amount]]-data[[#This Row],[Cost]]</f>
        <v>5694.6200000000008</v>
      </c>
    </row>
    <row r="46" spans="3:27" x14ac:dyDescent="0.3">
      <c r="C46" t="s">
        <v>9</v>
      </c>
      <c r="D46" t="s">
        <v>35</v>
      </c>
      <c r="E46" t="s">
        <v>15</v>
      </c>
      <c r="F46" s="4">
        <v>7833</v>
      </c>
      <c r="G46" s="5">
        <v>243</v>
      </c>
      <c r="H46">
        <f>_xlfn.XLOOKUP(data[[#This Row],[Product]],products[Product],products[Cost per unit])</f>
        <v>11.73</v>
      </c>
      <c r="I46">
        <f>data[[#This Row],[Units]]*data[[#This Row],[Cost per unit]]</f>
        <v>2850.3900000000003</v>
      </c>
      <c r="J46" s="4">
        <f>data[[#This Row],[Amount]]-data[[#This Row],[Cost]]</f>
        <v>4982.6099999999997</v>
      </c>
    </row>
    <row r="47" spans="3:27" x14ac:dyDescent="0.3">
      <c r="C47" t="s">
        <v>2</v>
      </c>
      <c r="D47" t="s">
        <v>39</v>
      </c>
      <c r="E47" t="s">
        <v>27</v>
      </c>
      <c r="F47" s="4">
        <v>7812</v>
      </c>
      <c r="G47" s="5">
        <v>81</v>
      </c>
      <c r="H47">
        <f>_xlfn.XLOOKUP(data[[#This Row],[Product]],products[Product],products[Cost per unit])</f>
        <v>16.73</v>
      </c>
      <c r="I47">
        <f>data[[#This Row],[Units]]*data[[#This Row],[Cost per unit]]</f>
        <v>1355.13</v>
      </c>
      <c r="J47" s="4">
        <f>data[[#This Row],[Amount]]-data[[#This Row],[Cost]]</f>
        <v>6456.87</v>
      </c>
    </row>
    <row r="48" spans="3:27" x14ac:dyDescent="0.3">
      <c r="C48" t="s">
        <v>3</v>
      </c>
      <c r="D48" t="s">
        <v>34</v>
      </c>
      <c r="E48" t="s">
        <v>32</v>
      </c>
      <c r="F48" s="4">
        <v>7777</v>
      </c>
      <c r="G48" s="5">
        <v>504</v>
      </c>
      <c r="H48">
        <f>_xlfn.XLOOKUP(data[[#This Row],[Product]],products[Product],products[Cost per unit])</f>
        <v>8.65</v>
      </c>
      <c r="I48">
        <f>data[[#This Row],[Units]]*data[[#This Row],[Cost per unit]]</f>
        <v>4359.6000000000004</v>
      </c>
      <c r="J48" s="4">
        <f>data[[#This Row],[Amount]]-data[[#This Row],[Cost]]</f>
        <v>3417.3999999999996</v>
      </c>
    </row>
    <row r="49" spans="3:10" x14ac:dyDescent="0.3">
      <c r="C49" t="s">
        <v>7</v>
      </c>
      <c r="D49" t="s">
        <v>34</v>
      </c>
      <c r="E49" t="s">
        <v>17</v>
      </c>
      <c r="F49" s="4">
        <v>7777</v>
      </c>
      <c r="G49" s="5">
        <v>39</v>
      </c>
      <c r="H49">
        <f>_xlfn.XLOOKUP(data[[#This Row],[Product]],products[Product],products[Cost per unit])</f>
        <v>3.11</v>
      </c>
      <c r="I49">
        <f>data[[#This Row],[Units]]*data[[#This Row],[Cost per unit]]</f>
        <v>121.28999999999999</v>
      </c>
      <c r="J49" s="4">
        <f>data[[#This Row],[Amount]]-data[[#This Row],[Cost]]</f>
        <v>7655.71</v>
      </c>
    </row>
    <row r="50" spans="3:10" x14ac:dyDescent="0.3">
      <c r="C50" t="s">
        <v>6</v>
      </c>
      <c r="D50" t="s">
        <v>37</v>
      </c>
      <c r="E50" t="s">
        <v>31</v>
      </c>
      <c r="F50" s="4">
        <v>7693</v>
      </c>
      <c r="G50" s="5">
        <v>87</v>
      </c>
      <c r="H50">
        <f>_xlfn.XLOOKUP(data[[#This Row],[Product]],products[Product],products[Cost per unit])</f>
        <v>5.79</v>
      </c>
      <c r="I50">
        <f>data[[#This Row],[Units]]*data[[#This Row],[Cost per unit]]</f>
        <v>503.73</v>
      </c>
      <c r="J50" s="4">
        <f>data[[#This Row],[Amount]]-data[[#This Row],[Cost]]</f>
        <v>7189.27</v>
      </c>
    </row>
    <row r="51" spans="3:10" x14ac:dyDescent="0.3">
      <c r="C51" t="s">
        <v>40</v>
      </c>
      <c r="D51" t="s">
        <v>37</v>
      </c>
      <c r="E51" t="s">
        <v>19</v>
      </c>
      <c r="F51" s="4">
        <v>7693</v>
      </c>
      <c r="G51" s="5">
        <v>21</v>
      </c>
      <c r="H51">
        <f>_xlfn.XLOOKUP(data[[#This Row],[Product]],products[Product],products[Cost per unit])</f>
        <v>7.64</v>
      </c>
      <c r="I51">
        <f>data[[#This Row],[Units]]*data[[#This Row],[Cost per unit]]</f>
        <v>160.44</v>
      </c>
      <c r="J51" s="4">
        <f>data[[#This Row],[Amount]]-data[[#This Row],[Cost]]</f>
        <v>7532.56</v>
      </c>
    </row>
    <row r="52" spans="3:10" x14ac:dyDescent="0.3">
      <c r="C52" t="s">
        <v>2</v>
      </c>
      <c r="D52" t="s">
        <v>39</v>
      </c>
      <c r="E52" t="s">
        <v>21</v>
      </c>
      <c r="F52" s="4">
        <v>7651</v>
      </c>
      <c r="G52" s="5">
        <v>213</v>
      </c>
      <c r="H52">
        <f>_xlfn.XLOOKUP(data[[#This Row],[Product]],products[Product],products[Cost per unit])</f>
        <v>9</v>
      </c>
      <c r="I52">
        <f>data[[#This Row],[Units]]*data[[#This Row],[Cost per unit]]</f>
        <v>1917</v>
      </c>
      <c r="J52" s="4">
        <f>data[[#This Row],[Amount]]-data[[#This Row],[Cost]]</f>
        <v>5734</v>
      </c>
    </row>
    <row r="53" spans="3:10" x14ac:dyDescent="0.3">
      <c r="C53" t="s">
        <v>2</v>
      </c>
      <c r="D53" t="s">
        <v>34</v>
      </c>
      <c r="E53" t="s">
        <v>19</v>
      </c>
      <c r="F53" s="4">
        <v>7511</v>
      </c>
      <c r="G53" s="5">
        <v>120</v>
      </c>
      <c r="H53">
        <f>_xlfn.XLOOKUP(data[[#This Row],[Product]],products[Product],products[Cost per unit])</f>
        <v>7.64</v>
      </c>
      <c r="I53">
        <f>data[[#This Row],[Units]]*data[[#This Row],[Cost per unit]]</f>
        <v>916.8</v>
      </c>
      <c r="J53" s="4">
        <f>data[[#This Row],[Amount]]-data[[#This Row],[Cost]]</f>
        <v>6594.2</v>
      </c>
    </row>
    <row r="54" spans="3:10" x14ac:dyDescent="0.3">
      <c r="C54" t="s">
        <v>5</v>
      </c>
      <c r="D54" t="s">
        <v>38</v>
      </c>
      <c r="E54" t="s">
        <v>25</v>
      </c>
      <c r="F54" s="4">
        <v>7483</v>
      </c>
      <c r="G54" s="5">
        <v>45</v>
      </c>
      <c r="H54">
        <f>_xlfn.XLOOKUP(data[[#This Row],[Product]],products[Product],products[Cost per unit])</f>
        <v>13.15</v>
      </c>
      <c r="I54">
        <f>data[[#This Row],[Units]]*data[[#This Row],[Cost per unit]]</f>
        <v>591.75</v>
      </c>
      <c r="J54" s="4">
        <f>data[[#This Row],[Amount]]-data[[#This Row],[Cost]]</f>
        <v>6891.25</v>
      </c>
    </row>
    <row r="55" spans="3:10" x14ac:dyDescent="0.3">
      <c r="C55" t="s">
        <v>41</v>
      </c>
      <c r="D55" t="s">
        <v>35</v>
      </c>
      <c r="E55" t="s">
        <v>28</v>
      </c>
      <c r="F55" s="4">
        <v>7455</v>
      </c>
      <c r="G55" s="5">
        <v>216</v>
      </c>
      <c r="H55">
        <f>_xlfn.XLOOKUP(data[[#This Row],[Product]],products[Product],products[Cost per unit])</f>
        <v>10.38</v>
      </c>
      <c r="I55">
        <f>data[[#This Row],[Units]]*data[[#This Row],[Cost per unit]]</f>
        <v>2242.0800000000004</v>
      </c>
      <c r="J55" s="4">
        <f>data[[#This Row],[Amount]]-data[[#This Row],[Cost]]</f>
        <v>5212.92</v>
      </c>
    </row>
    <row r="56" spans="3:10" x14ac:dyDescent="0.3">
      <c r="C56" t="s">
        <v>6</v>
      </c>
      <c r="D56" t="s">
        <v>38</v>
      </c>
      <c r="E56" t="s">
        <v>21</v>
      </c>
      <c r="F56" s="4">
        <v>7322</v>
      </c>
      <c r="G56" s="5">
        <v>36</v>
      </c>
      <c r="H56">
        <f>_xlfn.XLOOKUP(data[[#This Row],[Product]],products[Product],products[Cost per unit])</f>
        <v>9</v>
      </c>
      <c r="I56">
        <f>data[[#This Row],[Units]]*data[[#This Row],[Cost per unit]]</f>
        <v>324</v>
      </c>
      <c r="J56" s="4">
        <f>data[[#This Row],[Amount]]-data[[#This Row],[Cost]]</f>
        <v>6998</v>
      </c>
    </row>
    <row r="57" spans="3:10" x14ac:dyDescent="0.3">
      <c r="C57" t="s">
        <v>3</v>
      </c>
      <c r="D57" t="s">
        <v>37</v>
      </c>
      <c r="E57" t="s">
        <v>28</v>
      </c>
      <c r="F57" s="4">
        <v>7308</v>
      </c>
      <c r="G57" s="5">
        <v>327</v>
      </c>
      <c r="H57">
        <f>_xlfn.XLOOKUP(data[[#This Row],[Product]],products[Product],products[Cost per unit])</f>
        <v>10.38</v>
      </c>
      <c r="I57">
        <f>data[[#This Row],[Units]]*data[[#This Row],[Cost per unit]]</f>
        <v>3394.26</v>
      </c>
      <c r="J57" s="4">
        <f>data[[#This Row],[Amount]]-data[[#This Row],[Cost]]</f>
        <v>3913.74</v>
      </c>
    </row>
    <row r="58" spans="3:10" x14ac:dyDescent="0.3">
      <c r="C58" t="s">
        <v>5</v>
      </c>
      <c r="D58" t="s">
        <v>34</v>
      </c>
      <c r="E58" t="s">
        <v>15</v>
      </c>
      <c r="F58" s="4">
        <v>7280</v>
      </c>
      <c r="G58" s="5">
        <v>201</v>
      </c>
      <c r="H58">
        <f>_xlfn.XLOOKUP(data[[#This Row],[Product]],products[Product],products[Cost per unit])</f>
        <v>11.73</v>
      </c>
      <c r="I58">
        <f>data[[#This Row],[Units]]*data[[#This Row],[Cost per unit]]</f>
        <v>2357.73</v>
      </c>
      <c r="J58" s="4">
        <f>data[[#This Row],[Amount]]-data[[#This Row],[Cost]]</f>
        <v>4922.2700000000004</v>
      </c>
    </row>
    <row r="59" spans="3:10" x14ac:dyDescent="0.3">
      <c r="C59" t="s">
        <v>9</v>
      </c>
      <c r="D59" t="s">
        <v>37</v>
      </c>
      <c r="E59" t="s">
        <v>20</v>
      </c>
      <c r="F59" s="4">
        <v>7273</v>
      </c>
      <c r="G59" s="5">
        <v>96</v>
      </c>
      <c r="H59">
        <f>_xlfn.XLOOKUP(data[[#This Row],[Product]],products[Product],products[Cost per unit])</f>
        <v>10.62</v>
      </c>
      <c r="I59">
        <f>data[[#This Row],[Units]]*data[[#This Row],[Cost per unit]]</f>
        <v>1019.52</v>
      </c>
      <c r="J59" s="4">
        <f>data[[#This Row],[Amount]]-data[[#This Row],[Cost]]</f>
        <v>6253.48</v>
      </c>
    </row>
    <row r="60" spans="3:10" x14ac:dyDescent="0.3">
      <c r="C60" t="s">
        <v>3</v>
      </c>
      <c r="D60" t="s">
        <v>34</v>
      </c>
      <c r="E60" t="s">
        <v>14</v>
      </c>
      <c r="F60" s="4">
        <v>7259</v>
      </c>
      <c r="G60" s="5">
        <v>276</v>
      </c>
      <c r="H60">
        <f>_xlfn.XLOOKUP(data[[#This Row],[Product]],products[Product],products[Cost per unit])</f>
        <v>11.7</v>
      </c>
      <c r="I60">
        <f>data[[#This Row],[Units]]*data[[#This Row],[Cost per unit]]</f>
        <v>3229.2</v>
      </c>
      <c r="J60" s="4">
        <f>data[[#This Row],[Amount]]-data[[#This Row],[Cost]]</f>
        <v>4029.8</v>
      </c>
    </row>
    <row r="61" spans="3:10" x14ac:dyDescent="0.3">
      <c r="C61" t="s">
        <v>5</v>
      </c>
      <c r="D61" t="s">
        <v>38</v>
      </c>
      <c r="E61" t="s">
        <v>13</v>
      </c>
      <c r="F61" s="4">
        <v>7189</v>
      </c>
      <c r="G61" s="5">
        <v>54</v>
      </c>
      <c r="H61">
        <f>_xlfn.XLOOKUP(data[[#This Row],[Product]],products[Product],products[Cost per unit])</f>
        <v>9.33</v>
      </c>
      <c r="I61">
        <f>data[[#This Row],[Units]]*data[[#This Row],[Cost per unit]]</f>
        <v>503.82</v>
      </c>
      <c r="J61" s="4">
        <f>data[[#This Row],[Amount]]-data[[#This Row],[Cost]]</f>
        <v>6685.18</v>
      </c>
    </row>
    <row r="62" spans="3:10" x14ac:dyDescent="0.3">
      <c r="C62" t="s">
        <v>8</v>
      </c>
      <c r="D62" t="s">
        <v>39</v>
      </c>
      <c r="E62" t="s">
        <v>30</v>
      </c>
      <c r="F62" s="4">
        <v>7021</v>
      </c>
      <c r="G62" s="5">
        <v>183</v>
      </c>
      <c r="H62">
        <f>_xlfn.XLOOKUP(data[[#This Row],[Product]],products[Product],products[Cost per unit])</f>
        <v>14.49</v>
      </c>
      <c r="I62">
        <f>data[[#This Row],[Units]]*data[[#This Row],[Cost per unit]]</f>
        <v>2651.67</v>
      </c>
      <c r="J62" s="4">
        <f>data[[#This Row],[Amount]]-data[[#This Row],[Cost]]</f>
        <v>4369.33</v>
      </c>
    </row>
    <row r="63" spans="3:10" x14ac:dyDescent="0.3">
      <c r="C63" t="s">
        <v>5</v>
      </c>
      <c r="D63" t="s">
        <v>34</v>
      </c>
      <c r="E63" t="s">
        <v>27</v>
      </c>
      <c r="F63" s="4">
        <v>6986</v>
      </c>
      <c r="G63" s="5">
        <v>21</v>
      </c>
      <c r="H63">
        <f>_xlfn.XLOOKUP(data[[#This Row],[Product]],products[Product],products[Cost per unit])</f>
        <v>16.73</v>
      </c>
      <c r="I63">
        <f>data[[#This Row],[Units]]*data[[#This Row],[Cost per unit]]</f>
        <v>351.33</v>
      </c>
      <c r="J63" s="4">
        <f>data[[#This Row],[Amount]]-data[[#This Row],[Cost]]</f>
        <v>6634.67</v>
      </c>
    </row>
    <row r="64" spans="3:10" x14ac:dyDescent="0.3">
      <c r="C64" t="s">
        <v>5</v>
      </c>
      <c r="D64" t="s">
        <v>39</v>
      </c>
      <c r="E64" t="s">
        <v>22</v>
      </c>
      <c r="F64" s="4">
        <v>6909</v>
      </c>
      <c r="G64" s="5">
        <v>81</v>
      </c>
      <c r="H64">
        <f>_xlfn.XLOOKUP(data[[#This Row],[Product]],products[Product],products[Cost per unit])</f>
        <v>9.77</v>
      </c>
      <c r="I64">
        <f>data[[#This Row],[Units]]*data[[#This Row],[Cost per unit]]</f>
        <v>791.37</v>
      </c>
      <c r="J64" s="4">
        <f>data[[#This Row],[Amount]]-data[[#This Row],[Cost]]</f>
        <v>6117.63</v>
      </c>
    </row>
    <row r="65" spans="3:10" x14ac:dyDescent="0.3">
      <c r="C65" t="s">
        <v>10</v>
      </c>
      <c r="D65" t="s">
        <v>38</v>
      </c>
      <c r="E65" t="s">
        <v>4</v>
      </c>
      <c r="F65" s="4">
        <v>6860</v>
      </c>
      <c r="G65" s="5">
        <v>126</v>
      </c>
      <c r="H65">
        <f>_xlfn.XLOOKUP(data[[#This Row],[Product]],products[Product],products[Cost per unit])</f>
        <v>11.88</v>
      </c>
      <c r="I65">
        <f>data[[#This Row],[Units]]*data[[#This Row],[Cost per unit]]</f>
        <v>1496.88</v>
      </c>
      <c r="J65" s="4">
        <f>data[[#This Row],[Amount]]-data[[#This Row],[Cost]]</f>
        <v>5363.12</v>
      </c>
    </row>
    <row r="66" spans="3:10" x14ac:dyDescent="0.3">
      <c r="C66" t="s">
        <v>40</v>
      </c>
      <c r="D66" t="s">
        <v>35</v>
      </c>
      <c r="E66" t="s">
        <v>22</v>
      </c>
      <c r="F66" s="4">
        <v>6853</v>
      </c>
      <c r="G66" s="5">
        <v>372</v>
      </c>
      <c r="H66">
        <f>_xlfn.XLOOKUP(data[[#This Row],[Product]],products[Product],products[Cost per unit])</f>
        <v>9.77</v>
      </c>
      <c r="I66">
        <f>data[[#This Row],[Units]]*data[[#This Row],[Cost per unit]]</f>
        <v>3634.44</v>
      </c>
      <c r="J66" s="4">
        <f>data[[#This Row],[Amount]]-data[[#This Row],[Cost]]</f>
        <v>3218.56</v>
      </c>
    </row>
    <row r="67" spans="3:10" x14ac:dyDescent="0.3">
      <c r="C67" t="s">
        <v>9</v>
      </c>
      <c r="D67" t="s">
        <v>34</v>
      </c>
      <c r="E67" t="s">
        <v>21</v>
      </c>
      <c r="F67" s="4">
        <v>6832</v>
      </c>
      <c r="G67" s="5">
        <v>27</v>
      </c>
      <c r="H67">
        <f>_xlfn.XLOOKUP(data[[#This Row],[Product]],products[Product],products[Cost per unit])</f>
        <v>9</v>
      </c>
      <c r="I67">
        <f>data[[#This Row],[Units]]*data[[#This Row],[Cost per unit]]</f>
        <v>243</v>
      </c>
      <c r="J67" s="4">
        <f>data[[#This Row],[Amount]]-data[[#This Row],[Cost]]</f>
        <v>6589</v>
      </c>
    </row>
    <row r="68" spans="3:10" x14ac:dyDescent="0.3">
      <c r="C68" t="s">
        <v>6</v>
      </c>
      <c r="D68" t="s">
        <v>37</v>
      </c>
      <c r="E68" t="s">
        <v>26</v>
      </c>
      <c r="F68" s="4">
        <v>6818</v>
      </c>
      <c r="G68" s="5">
        <v>6</v>
      </c>
      <c r="H68">
        <f>_xlfn.XLOOKUP(data[[#This Row],[Product]],products[Product],products[Cost per unit])</f>
        <v>5.6</v>
      </c>
      <c r="I68">
        <f>data[[#This Row],[Units]]*data[[#This Row],[Cost per unit]]</f>
        <v>33.599999999999994</v>
      </c>
      <c r="J68" s="4">
        <f>data[[#This Row],[Amount]]-data[[#This Row],[Cost]]</f>
        <v>6784.4</v>
      </c>
    </row>
    <row r="69" spans="3:10" x14ac:dyDescent="0.3">
      <c r="C69" t="s">
        <v>7</v>
      </c>
      <c r="D69" t="s">
        <v>35</v>
      </c>
      <c r="E69" t="s">
        <v>30</v>
      </c>
      <c r="F69" s="4">
        <v>6755</v>
      </c>
      <c r="G69" s="5">
        <v>252</v>
      </c>
      <c r="H69">
        <f>_xlfn.XLOOKUP(data[[#This Row],[Product]],products[Product],products[Cost per unit])</f>
        <v>14.49</v>
      </c>
      <c r="I69">
        <f>data[[#This Row],[Units]]*data[[#This Row],[Cost per unit]]</f>
        <v>3651.48</v>
      </c>
      <c r="J69" s="4">
        <f>data[[#This Row],[Amount]]-data[[#This Row],[Cost]]</f>
        <v>3103.52</v>
      </c>
    </row>
    <row r="70" spans="3:10" x14ac:dyDescent="0.3">
      <c r="C70" t="s">
        <v>40</v>
      </c>
      <c r="D70" t="s">
        <v>34</v>
      </c>
      <c r="E70" t="s">
        <v>26</v>
      </c>
      <c r="F70" s="4">
        <v>6748</v>
      </c>
      <c r="G70" s="5">
        <v>48</v>
      </c>
      <c r="H70">
        <f>_xlfn.XLOOKUP(data[[#This Row],[Product]],products[Product],products[Cost per unit])</f>
        <v>5.6</v>
      </c>
      <c r="I70">
        <f>data[[#This Row],[Units]]*data[[#This Row],[Cost per unit]]</f>
        <v>268.79999999999995</v>
      </c>
      <c r="J70" s="4">
        <f>data[[#This Row],[Amount]]-data[[#This Row],[Cost]]</f>
        <v>6479.2</v>
      </c>
    </row>
    <row r="71" spans="3:10" x14ac:dyDescent="0.3">
      <c r="C71" t="s">
        <v>6</v>
      </c>
      <c r="D71" t="s">
        <v>34</v>
      </c>
      <c r="E71" t="s">
        <v>32</v>
      </c>
      <c r="F71" s="4">
        <v>6734</v>
      </c>
      <c r="G71" s="5">
        <v>123</v>
      </c>
      <c r="H71">
        <f>_xlfn.XLOOKUP(data[[#This Row],[Product]],products[Product],products[Cost per unit])</f>
        <v>8.65</v>
      </c>
      <c r="I71">
        <f>data[[#This Row],[Units]]*data[[#This Row],[Cost per unit]]</f>
        <v>1063.95</v>
      </c>
      <c r="J71" s="4">
        <f>data[[#This Row],[Amount]]-data[[#This Row],[Cost]]</f>
        <v>5670.05</v>
      </c>
    </row>
    <row r="72" spans="3:10" x14ac:dyDescent="0.3">
      <c r="C72" t="s">
        <v>8</v>
      </c>
      <c r="D72" t="s">
        <v>35</v>
      </c>
      <c r="E72" t="s">
        <v>32</v>
      </c>
      <c r="F72" s="4">
        <v>6706</v>
      </c>
      <c r="G72" s="5">
        <v>459</v>
      </c>
      <c r="H72">
        <f>_xlfn.XLOOKUP(data[[#This Row],[Product]],products[Product],products[Cost per unit])</f>
        <v>8.65</v>
      </c>
      <c r="I72">
        <f>data[[#This Row],[Units]]*data[[#This Row],[Cost per unit]]</f>
        <v>3970.3500000000004</v>
      </c>
      <c r="J72" s="4">
        <f>data[[#This Row],[Amount]]-data[[#This Row],[Cost]]</f>
        <v>2735.6499999999996</v>
      </c>
    </row>
    <row r="73" spans="3:10" x14ac:dyDescent="0.3">
      <c r="C73" t="s">
        <v>10</v>
      </c>
      <c r="D73" t="s">
        <v>36</v>
      </c>
      <c r="E73" t="s">
        <v>32</v>
      </c>
      <c r="F73" s="4">
        <v>6657</v>
      </c>
      <c r="G73" s="5">
        <v>303</v>
      </c>
      <c r="H73">
        <f>_xlfn.XLOOKUP(data[[#This Row],[Product]],products[Product],products[Cost per unit])</f>
        <v>8.65</v>
      </c>
      <c r="I73">
        <f>data[[#This Row],[Units]]*data[[#This Row],[Cost per unit]]</f>
        <v>2620.9500000000003</v>
      </c>
      <c r="J73" s="4">
        <f>data[[#This Row],[Amount]]-data[[#This Row],[Cost]]</f>
        <v>4036.0499999999997</v>
      </c>
    </row>
    <row r="74" spans="3:10" x14ac:dyDescent="0.3">
      <c r="C74" t="s">
        <v>3</v>
      </c>
      <c r="D74" t="s">
        <v>35</v>
      </c>
      <c r="E74" t="s">
        <v>15</v>
      </c>
      <c r="F74" s="4">
        <v>6657</v>
      </c>
      <c r="G74" s="5">
        <v>276</v>
      </c>
      <c r="H74">
        <f>_xlfn.XLOOKUP(data[[#This Row],[Product]],products[Product],products[Cost per unit])</f>
        <v>11.73</v>
      </c>
      <c r="I74">
        <f>data[[#This Row],[Units]]*data[[#This Row],[Cost per unit]]</f>
        <v>3237.48</v>
      </c>
      <c r="J74" s="4">
        <f>data[[#This Row],[Amount]]-data[[#This Row],[Cost]]</f>
        <v>3419.52</v>
      </c>
    </row>
    <row r="75" spans="3:10" x14ac:dyDescent="0.3">
      <c r="C75" t="s">
        <v>7</v>
      </c>
      <c r="D75" t="s">
        <v>37</v>
      </c>
      <c r="E75" t="s">
        <v>14</v>
      </c>
      <c r="F75" s="4">
        <v>6608</v>
      </c>
      <c r="G75" s="5">
        <v>225</v>
      </c>
      <c r="H75">
        <f>_xlfn.XLOOKUP(data[[#This Row],[Product]],products[Product],products[Cost per unit])</f>
        <v>11.7</v>
      </c>
      <c r="I75">
        <f>data[[#This Row],[Units]]*data[[#This Row],[Cost per unit]]</f>
        <v>2632.5</v>
      </c>
      <c r="J75" s="4">
        <f>data[[#This Row],[Amount]]-data[[#This Row],[Cost]]</f>
        <v>3975.5</v>
      </c>
    </row>
    <row r="76" spans="3:10" x14ac:dyDescent="0.3">
      <c r="C76" t="s">
        <v>2</v>
      </c>
      <c r="D76" t="s">
        <v>38</v>
      </c>
      <c r="E76" t="s">
        <v>28</v>
      </c>
      <c r="F76" s="4">
        <v>6580</v>
      </c>
      <c r="G76" s="5">
        <v>183</v>
      </c>
      <c r="H76">
        <f>_xlfn.XLOOKUP(data[[#This Row],[Product]],products[Product],products[Cost per unit])</f>
        <v>10.38</v>
      </c>
      <c r="I76">
        <f>data[[#This Row],[Units]]*data[[#This Row],[Cost per unit]]</f>
        <v>1899.5400000000002</v>
      </c>
      <c r="J76" s="4">
        <f>data[[#This Row],[Amount]]-data[[#This Row],[Cost]]</f>
        <v>4680.46</v>
      </c>
    </row>
    <row r="77" spans="3:10" x14ac:dyDescent="0.3">
      <c r="C77" t="s">
        <v>7</v>
      </c>
      <c r="D77" t="s">
        <v>37</v>
      </c>
      <c r="E77" t="s">
        <v>30</v>
      </c>
      <c r="F77" s="4">
        <v>6454</v>
      </c>
      <c r="G77" s="5">
        <v>54</v>
      </c>
      <c r="H77">
        <f>_xlfn.XLOOKUP(data[[#This Row],[Product]],products[Product],products[Cost per unit])</f>
        <v>14.49</v>
      </c>
      <c r="I77">
        <f>data[[#This Row],[Units]]*data[[#This Row],[Cost per unit]]</f>
        <v>782.46</v>
      </c>
      <c r="J77" s="4">
        <f>data[[#This Row],[Amount]]-data[[#This Row],[Cost]]</f>
        <v>5671.54</v>
      </c>
    </row>
    <row r="78" spans="3:10" x14ac:dyDescent="0.3">
      <c r="C78" t="s">
        <v>8</v>
      </c>
      <c r="D78" t="s">
        <v>38</v>
      </c>
      <c r="E78" t="s">
        <v>21</v>
      </c>
      <c r="F78" s="4">
        <v>6433</v>
      </c>
      <c r="G78" s="5">
        <v>78</v>
      </c>
      <c r="H78">
        <f>_xlfn.XLOOKUP(data[[#This Row],[Product]],products[Product],products[Cost per unit])</f>
        <v>9</v>
      </c>
      <c r="I78">
        <f>data[[#This Row],[Units]]*data[[#This Row],[Cost per unit]]</f>
        <v>702</v>
      </c>
      <c r="J78" s="4">
        <f>data[[#This Row],[Amount]]-data[[#This Row],[Cost]]</f>
        <v>5731</v>
      </c>
    </row>
    <row r="79" spans="3:10" x14ac:dyDescent="0.3">
      <c r="C79" t="s">
        <v>41</v>
      </c>
      <c r="D79" t="s">
        <v>37</v>
      </c>
      <c r="E79" t="s">
        <v>24</v>
      </c>
      <c r="F79" s="4">
        <v>6398</v>
      </c>
      <c r="G79" s="5">
        <v>102</v>
      </c>
      <c r="H79">
        <f>_xlfn.XLOOKUP(data[[#This Row],[Product]],products[Product],products[Cost per unit])</f>
        <v>4.97</v>
      </c>
      <c r="I79">
        <f>data[[#This Row],[Units]]*data[[#This Row],[Cost per unit]]</f>
        <v>506.94</v>
      </c>
      <c r="J79" s="4">
        <f>data[[#This Row],[Amount]]-data[[#This Row],[Cost]]</f>
        <v>5891.06</v>
      </c>
    </row>
    <row r="80" spans="3:10" x14ac:dyDescent="0.3">
      <c r="C80" t="s">
        <v>7</v>
      </c>
      <c r="D80" t="s">
        <v>37</v>
      </c>
      <c r="E80" t="s">
        <v>33</v>
      </c>
      <c r="F80" s="4">
        <v>6391</v>
      </c>
      <c r="G80" s="5">
        <v>48</v>
      </c>
      <c r="H80">
        <f>_xlfn.XLOOKUP(data[[#This Row],[Product]],products[Product],products[Cost per unit])</f>
        <v>12.37</v>
      </c>
      <c r="I80">
        <f>data[[#This Row],[Units]]*data[[#This Row],[Cost per unit]]</f>
        <v>593.76</v>
      </c>
      <c r="J80" s="4">
        <f>data[[#This Row],[Amount]]-data[[#This Row],[Cost]]</f>
        <v>5797.24</v>
      </c>
    </row>
    <row r="81" spans="3:10" x14ac:dyDescent="0.3">
      <c r="C81" t="s">
        <v>40</v>
      </c>
      <c r="D81" t="s">
        <v>39</v>
      </c>
      <c r="E81" t="s">
        <v>27</v>
      </c>
      <c r="F81" s="4">
        <v>6370</v>
      </c>
      <c r="G81" s="5">
        <v>30</v>
      </c>
      <c r="H81">
        <f>_xlfn.XLOOKUP(data[[#This Row],[Product]],products[Product],products[Cost per unit])</f>
        <v>16.73</v>
      </c>
      <c r="I81">
        <f>data[[#This Row],[Units]]*data[[#This Row],[Cost per unit]]</f>
        <v>501.90000000000003</v>
      </c>
      <c r="J81" s="4">
        <f>data[[#This Row],[Amount]]-data[[#This Row],[Cost]]</f>
        <v>5868.1</v>
      </c>
    </row>
    <row r="82" spans="3:10" x14ac:dyDescent="0.3">
      <c r="C82" t="s">
        <v>5</v>
      </c>
      <c r="D82" t="s">
        <v>36</v>
      </c>
      <c r="E82" t="s">
        <v>23</v>
      </c>
      <c r="F82" s="4">
        <v>6314</v>
      </c>
      <c r="G82" s="5">
        <v>15</v>
      </c>
      <c r="H82">
        <f>_xlfn.XLOOKUP(data[[#This Row],[Product]],products[Product],products[Cost per unit])</f>
        <v>6.49</v>
      </c>
      <c r="I82">
        <f>data[[#This Row],[Units]]*data[[#This Row],[Cost per unit]]</f>
        <v>97.350000000000009</v>
      </c>
      <c r="J82" s="4">
        <f>data[[#This Row],[Amount]]-data[[#This Row],[Cost]]</f>
        <v>6216.65</v>
      </c>
    </row>
    <row r="83" spans="3:10" x14ac:dyDescent="0.3">
      <c r="C83" t="s">
        <v>3</v>
      </c>
      <c r="D83" t="s">
        <v>34</v>
      </c>
      <c r="E83" t="s">
        <v>25</v>
      </c>
      <c r="F83" s="4">
        <v>6300</v>
      </c>
      <c r="G83" s="5">
        <v>42</v>
      </c>
      <c r="H83">
        <f>_xlfn.XLOOKUP(data[[#This Row],[Product]],products[Product],products[Cost per unit])</f>
        <v>13.15</v>
      </c>
      <c r="I83">
        <f>data[[#This Row],[Units]]*data[[#This Row],[Cost per unit]]</f>
        <v>552.30000000000007</v>
      </c>
      <c r="J83" s="4">
        <f>data[[#This Row],[Amount]]-data[[#This Row],[Cost]]</f>
        <v>5747.7</v>
      </c>
    </row>
    <row r="84" spans="3:10" x14ac:dyDescent="0.3">
      <c r="C84" t="s">
        <v>8</v>
      </c>
      <c r="D84" t="s">
        <v>37</v>
      </c>
      <c r="E84" t="s">
        <v>26</v>
      </c>
      <c r="F84" s="4">
        <v>6279</v>
      </c>
      <c r="G84" s="5">
        <v>45</v>
      </c>
      <c r="H84">
        <f>_xlfn.XLOOKUP(data[[#This Row],[Product]],products[Product],products[Cost per unit])</f>
        <v>5.6</v>
      </c>
      <c r="I84">
        <f>data[[#This Row],[Units]]*data[[#This Row],[Cost per unit]]</f>
        <v>251.99999999999997</v>
      </c>
      <c r="J84" s="4">
        <f>data[[#This Row],[Amount]]-data[[#This Row],[Cost]]</f>
        <v>6027</v>
      </c>
    </row>
    <row r="85" spans="3:10" x14ac:dyDescent="0.3">
      <c r="C85" t="s">
        <v>5</v>
      </c>
      <c r="D85" t="s">
        <v>34</v>
      </c>
      <c r="E85" t="s">
        <v>22</v>
      </c>
      <c r="F85" s="4">
        <v>6279</v>
      </c>
      <c r="G85" s="5">
        <v>237</v>
      </c>
      <c r="H85">
        <f>_xlfn.XLOOKUP(data[[#This Row],[Product]],products[Product],products[Cost per unit])</f>
        <v>9.77</v>
      </c>
      <c r="I85">
        <f>data[[#This Row],[Units]]*data[[#This Row],[Cost per unit]]</f>
        <v>2315.4899999999998</v>
      </c>
      <c r="J85" s="4">
        <f>data[[#This Row],[Amount]]-data[[#This Row],[Cost]]</f>
        <v>3963.51</v>
      </c>
    </row>
    <row r="86" spans="3:10" x14ac:dyDescent="0.3">
      <c r="C86" t="s">
        <v>5</v>
      </c>
      <c r="D86" t="s">
        <v>36</v>
      </c>
      <c r="E86" t="s">
        <v>13</v>
      </c>
      <c r="F86" s="4">
        <v>6146</v>
      </c>
      <c r="G86" s="5">
        <v>63</v>
      </c>
      <c r="H86">
        <f>_xlfn.XLOOKUP(data[[#This Row],[Product]],products[Product],products[Cost per unit])</f>
        <v>9.33</v>
      </c>
      <c r="I86">
        <f>data[[#This Row],[Units]]*data[[#This Row],[Cost per unit]]</f>
        <v>587.79</v>
      </c>
      <c r="J86" s="4">
        <f>data[[#This Row],[Amount]]-data[[#This Row],[Cost]]</f>
        <v>5558.21</v>
      </c>
    </row>
    <row r="87" spans="3:10" x14ac:dyDescent="0.3">
      <c r="C87" t="s">
        <v>40</v>
      </c>
      <c r="D87" t="s">
        <v>37</v>
      </c>
      <c r="E87" t="s">
        <v>27</v>
      </c>
      <c r="F87" s="4">
        <v>6132</v>
      </c>
      <c r="G87" s="5">
        <v>93</v>
      </c>
      <c r="H87">
        <f>_xlfn.XLOOKUP(data[[#This Row],[Product]],products[Product],products[Cost per unit])</f>
        <v>16.73</v>
      </c>
      <c r="I87">
        <f>data[[#This Row],[Units]]*data[[#This Row],[Cost per unit]]</f>
        <v>1555.89</v>
      </c>
      <c r="J87" s="4">
        <f>data[[#This Row],[Amount]]-data[[#This Row],[Cost]]</f>
        <v>4576.1099999999997</v>
      </c>
    </row>
    <row r="88" spans="3:10" x14ac:dyDescent="0.3">
      <c r="C88" t="s">
        <v>40</v>
      </c>
      <c r="D88" t="s">
        <v>38</v>
      </c>
      <c r="E88" t="s">
        <v>4</v>
      </c>
      <c r="F88" s="4">
        <v>6125</v>
      </c>
      <c r="G88" s="5">
        <v>102</v>
      </c>
      <c r="H88">
        <f>_xlfn.XLOOKUP(data[[#This Row],[Product]],products[Product],products[Cost per unit])</f>
        <v>11.88</v>
      </c>
      <c r="I88">
        <f>data[[#This Row],[Units]]*data[[#This Row],[Cost per unit]]</f>
        <v>1211.76</v>
      </c>
      <c r="J88" s="4">
        <f>data[[#This Row],[Amount]]-data[[#This Row],[Cost]]</f>
        <v>4913.24</v>
      </c>
    </row>
    <row r="89" spans="3:10" x14ac:dyDescent="0.3">
      <c r="C89" t="s">
        <v>6</v>
      </c>
      <c r="D89" t="s">
        <v>36</v>
      </c>
      <c r="E89" t="s">
        <v>32</v>
      </c>
      <c r="F89" s="4">
        <v>6118</v>
      </c>
      <c r="G89" s="5">
        <v>9</v>
      </c>
      <c r="H89">
        <f>_xlfn.XLOOKUP(data[[#This Row],[Product]],products[Product],products[Cost per unit])</f>
        <v>8.65</v>
      </c>
      <c r="I89">
        <f>data[[#This Row],[Units]]*data[[#This Row],[Cost per unit]]</f>
        <v>77.850000000000009</v>
      </c>
      <c r="J89" s="4">
        <f>data[[#This Row],[Amount]]-data[[#This Row],[Cost]]</f>
        <v>6040.15</v>
      </c>
    </row>
    <row r="90" spans="3:10" x14ac:dyDescent="0.3">
      <c r="C90" t="s">
        <v>41</v>
      </c>
      <c r="D90" t="s">
        <v>36</v>
      </c>
      <c r="E90" t="s">
        <v>30</v>
      </c>
      <c r="F90" s="4">
        <v>6118</v>
      </c>
      <c r="G90" s="5">
        <v>174</v>
      </c>
      <c r="H90">
        <f>_xlfn.XLOOKUP(data[[#This Row],[Product]],products[Product],products[Cost per unit])</f>
        <v>14.49</v>
      </c>
      <c r="I90">
        <f>data[[#This Row],[Units]]*data[[#This Row],[Cost per unit]]</f>
        <v>2521.2600000000002</v>
      </c>
      <c r="J90" s="4">
        <f>data[[#This Row],[Amount]]-data[[#This Row],[Cost]]</f>
        <v>3596.74</v>
      </c>
    </row>
    <row r="91" spans="3:10" x14ac:dyDescent="0.3">
      <c r="C91" t="s">
        <v>5</v>
      </c>
      <c r="D91" t="s">
        <v>36</v>
      </c>
      <c r="E91" t="s">
        <v>18</v>
      </c>
      <c r="F91" s="4">
        <v>6111</v>
      </c>
      <c r="G91" s="5">
        <v>3</v>
      </c>
      <c r="H91">
        <f>_xlfn.XLOOKUP(data[[#This Row],[Product]],products[Product],products[Cost per unit])</f>
        <v>6.47</v>
      </c>
      <c r="I91">
        <f>data[[#This Row],[Units]]*data[[#This Row],[Cost per unit]]</f>
        <v>19.41</v>
      </c>
      <c r="J91" s="4">
        <f>data[[#This Row],[Amount]]-data[[#This Row],[Cost]]</f>
        <v>6091.59</v>
      </c>
    </row>
    <row r="92" spans="3:10" x14ac:dyDescent="0.3">
      <c r="C92" t="s">
        <v>6</v>
      </c>
      <c r="D92" t="s">
        <v>39</v>
      </c>
      <c r="E92" t="s">
        <v>17</v>
      </c>
      <c r="F92" s="4">
        <v>6048</v>
      </c>
      <c r="G92" s="5">
        <v>27</v>
      </c>
      <c r="H92">
        <f>_xlfn.XLOOKUP(data[[#This Row],[Product]],products[Product],products[Cost per unit])</f>
        <v>3.11</v>
      </c>
      <c r="I92">
        <f>data[[#This Row],[Units]]*data[[#This Row],[Cost per unit]]</f>
        <v>83.97</v>
      </c>
      <c r="J92" s="4">
        <f>data[[#This Row],[Amount]]-data[[#This Row],[Cost]]</f>
        <v>5964.03</v>
      </c>
    </row>
    <row r="93" spans="3:10" x14ac:dyDescent="0.3">
      <c r="C93" t="s">
        <v>2</v>
      </c>
      <c r="D93" t="s">
        <v>39</v>
      </c>
      <c r="E93" t="s">
        <v>28</v>
      </c>
      <c r="F93" s="4">
        <v>6027</v>
      </c>
      <c r="G93" s="5">
        <v>144</v>
      </c>
      <c r="H93">
        <f>_xlfn.XLOOKUP(data[[#This Row],[Product]],products[Product],products[Cost per unit])</f>
        <v>10.38</v>
      </c>
      <c r="I93">
        <f>data[[#This Row],[Units]]*data[[#This Row],[Cost per unit]]</f>
        <v>1494.72</v>
      </c>
      <c r="J93" s="4">
        <f>data[[#This Row],[Amount]]-data[[#This Row],[Cost]]</f>
        <v>4532.28</v>
      </c>
    </row>
    <row r="94" spans="3:10" x14ac:dyDescent="0.3">
      <c r="C94" t="s">
        <v>41</v>
      </c>
      <c r="D94" t="s">
        <v>38</v>
      </c>
      <c r="E94" t="s">
        <v>22</v>
      </c>
      <c r="F94" s="4">
        <v>5915</v>
      </c>
      <c r="G94" s="5">
        <v>3</v>
      </c>
      <c r="H94">
        <f>_xlfn.XLOOKUP(data[[#This Row],[Product]],products[Product],products[Cost per unit])</f>
        <v>9.77</v>
      </c>
      <c r="I94">
        <f>data[[#This Row],[Units]]*data[[#This Row],[Cost per unit]]</f>
        <v>29.31</v>
      </c>
      <c r="J94" s="4">
        <f>data[[#This Row],[Amount]]-data[[#This Row],[Cost]]</f>
        <v>5885.69</v>
      </c>
    </row>
    <row r="95" spans="3:10" x14ac:dyDescent="0.3">
      <c r="C95" t="s">
        <v>40</v>
      </c>
      <c r="D95" t="s">
        <v>39</v>
      </c>
      <c r="E95" t="s">
        <v>22</v>
      </c>
      <c r="F95" s="4">
        <v>5817</v>
      </c>
      <c r="G95" s="5">
        <v>12</v>
      </c>
      <c r="H95">
        <f>_xlfn.XLOOKUP(data[[#This Row],[Product]],products[Product],products[Cost per unit])</f>
        <v>9.77</v>
      </c>
      <c r="I95">
        <f>data[[#This Row],[Units]]*data[[#This Row],[Cost per unit]]</f>
        <v>117.24</v>
      </c>
      <c r="J95" s="4">
        <f>data[[#This Row],[Amount]]-data[[#This Row],[Cost]]</f>
        <v>5699.76</v>
      </c>
    </row>
    <row r="96" spans="3:10" x14ac:dyDescent="0.3">
      <c r="C96" t="s">
        <v>40</v>
      </c>
      <c r="D96" t="s">
        <v>39</v>
      </c>
      <c r="E96" t="s">
        <v>15</v>
      </c>
      <c r="F96" s="4">
        <v>5775</v>
      </c>
      <c r="G96" s="5">
        <v>42</v>
      </c>
      <c r="H96">
        <f>_xlfn.XLOOKUP(data[[#This Row],[Product]],products[Product],products[Cost per unit])</f>
        <v>11.73</v>
      </c>
      <c r="I96">
        <f>data[[#This Row],[Units]]*data[[#This Row],[Cost per unit]]</f>
        <v>492.66</v>
      </c>
      <c r="J96" s="4">
        <f>data[[#This Row],[Amount]]-data[[#This Row],[Cost]]</f>
        <v>5282.34</v>
      </c>
    </row>
    <row r="97" spans="3:10" x14ac:dyDescent="0.3">
      <c r="C97" t="s">
        <v>7</v>
      </c>
      <c r="D97" t="s">
        <v>38</v>
      </c>
      <c r="E97" t="s">
        <v>28</v>
      </c>
      <c r="F97" s="4">
        <v>5677</v>
      </c>
      <c r="G97" s="5">
        <v>258</v>
      </c>
      <c r="H97">
        <f>_xlfn.XLOOKUP(data[[#This Row],[Product]],products[Product],products[Cost per unit])</f>
        <v>10.38</v>
      </c>
      <c r="I97">
        <f>data[[#This Row],[Units]]*data[[#This Row],[Cost per unit]]</f>
        <v>2678.0400000000004</v>
      </c>
      <c r="J97" s="4">
        <f>data[[#This Row],[Amount]]-data[[#This Row],[Cost]]</f>
        <v>2998.9599999999996</v>
      </c>
    </row>
    <row r="98" spans="3:10" x14ac:dyDescent="0.3">
      <c r="C98" t="s">
        <v>40</v>
      </c>
      <c r="D98" t="s">
        <v>38</v>
      </c>
      <c r="E98" t="s">
        <v>13</v>
      </c>
      <c r="F98" s="4">
        <v>5670</v>
      </c>
      <c r="G98" s="5">
        <v>297</v>
      </c>
      <c r="H98">
        <f>_xlfn.XLOOKUP(data[[#This Row],[Product]],products[Product],products[Cost per unit])</f>
        <v>9.33</v>
      </c>
      <c r="I98">
        <f>data[[#This Row],[Units]]*data[[#This Row],[Cost per unit]]</f>
        <v>2771.01</v>
      </c>
      <c r="J98" s="4">
        <f>data[[#This Row],[Amount]]-data[[#This Row],[Cost]]</f>
        <v>2898.99</v>
      </c>
    </row>
    <row r="99" spans="3:10" x14ac:dyDescent="0.3">
      <c r="C99" t="s">
        <v>10</v>
      </c>
      <c r="D99" t="s">
        <v>38</v>
      </c>
      <c r="E99" t="s">
        <v>14</v>
      </c>
      <c r="F99" s="4">
        <v>5586</v>
      </c>
      <c r="G99" s="5">
        <v>525</v>
      </c>
      <c r="H99">
        <f>_xlfn.XLOOKUP(data[[#This Row],[Product]],products[Product],products[Cost per unit])</f>
        <v>11.7</v>
      </c>
      <c r="I99">
        <f>data[[#This Row],[Units]]*data[[#This Row],[Cost per unit]]</f>
        <v>6142.5</v>
      </c>
      <c r="J99" s="4">
        <f>data[[#This Row],[Amount]]-data[[#This Row],[Cost]]</f>
        <v>-556.5</v>
      </c>
    </row>
    <row r="100" spans="3:10" x14ac:dyDescent="0.3">
      <c r="C100" t="s">
        <v>7</v>
      </c>
      <c r="D100" t="s">
        <v>36</v>
      </c>
      <c r="E100" t="s">
        <v>29</v>
      </c>
      <c r="F100" s="4">
        <v>5551</v>
      </c>
      <c r="G100" s="5">
        <v>252</v>
      </c>
      <c r="H100">
        <f>_xlfn.XLOOKUP(data[[#This Row],[Product]],products[Product],products[Cost per unit])</f>
        <v>7.16</v>
      </c>
      <c r="I100">
        <f>data[[#This Row],[Units]]*data[[#This Row],[Cost per unit]]</f>
        <v>1804.32</v>
      </c>
      <c r="J100" s="4">
        <f>data[[#This Row],[Amount]]-data[[#This Row],[Cost]]</f>
        <v>3746.6800000000003</v>
      </c>
    </row>
    <row r="101" spans="3:10" x14ac:dyDescent="0.3">
      <c r="C101" t="s">
        <v>5</v>
      </c>
      <c r="D101" t="s">
        <v>38</v>
      </c>
      <c r="E101" t="s">
        <v>19</v>
      </c>
      <c r="F101" s="4">
        <v>5474</v>
      </c>
      <c r="G101" s="5">
        <v>168</v>
      </c>
      <c r="H101">
        <f>_xlfn.XLOOKUP(data[[#This Row],[Product]],products[Product],products[Cost per unit])</f>
        <v>7.64</v>
      </c>
      <c r="I101">
        <f>data[[#This Row],[Units]]*data[[#This Row],[Cost per unit]]</f>
        <v>1283.52</v>
      </c>
      <c r="J101" s="4">
        <f>data[[#This Row],[Amount]]-data[[#This Row],[Cost]]</f>
        <v>4190.4799999999996</v>
      </c>
    </row>
    <row r="102" spans="3:10" x14ac:dyDescent="0.3">
      <c r="C102" t="s">
        <v>40</v>
      </c>
      <c r="D102" t="s">
        <v>36</v>
      </c>
      <c r="E102" t="s">
        <v>25</v>
      </c>
      <c r="F102" s="4">
        <v>5439</v>
      </c>
      <c r="G102" s="5">
        <v>30</v>
      </c>
      <c r="H102">
        <f>_xlfn.XLOOKUP(data[[#This Row],[Product]],products[Product],products[Cost per unit])</f>
        <v>13.15</v>
      </c>
      <c r="I102">
        <f>data[[#This Row],[Units]]*data[[#This Row],[Cost per unit]]</f>
        <v>394.5</v>
      </c>
      <c r="J102" s="4">
        <f>data[[#This Row],[Amount]]-data[[#This Row],[Cost]]</f>
        <v>5044.5</v>
      </c>
    </row>
    <row r="103" spans="3:10" x14ac:dyDescent="0.3">
      <c r="C103" t="s">
        <v>10</v>
      </c>
      <c r="D103" t="s">
        <v>34</v>
      </c>
      <c r="E103" t="s">
        <v>19</v>
      </c>
      <c r="F103" s="4">
        <v>5355</v>
      </c>
      <c r="G103" s="5">
        <v>204</v>
      </c>
      <c r="H103">
        <f>_xlfn.XLOOKUP(data[[#This Row],[Product]],products[Product],products[Cost per unit])</f>
        <v>7.64</v>
      </c>
      <c r="I103">
        <f>data[[#This Row],[Units]]*data[[#This Row],[Cost per unit]]</f>
        <v>1558.56</v>
      </c>
      <c r="J103" s="4">
        <f>data[[#This Row],[Amount]]-data[[#This Row],[Cost]]</f>
        <v>3796.44</v>
      </c>
    </row>
    <row r="104" spans="3:10" x14ac:dyDescent="0.3">
      <c r="C104" t="s">
        <v>7</v>
      </c>
      <c r="D104" t="s">
        <v>37</v>
      </c>
      <c r="E104" t="s">
        <v>26</v>
      </c>
      <c r="F104" s="4">
        <v>5306</v>
      </c>
      <c r="G104" s="5">
        <v>0</v>
      </c>
      <c r="H104">
        <f>_xlfn.XLOOKUP(data[[#This Row],[Product]],products[Product],products[Cost per unit])</f>
        <v>5.6</v>
      </c>
      <c r="I104">
        <f>data[[#This Row],[Units]]*data[[#This Row],[Cost per unit]]</f>
        <v>0</v>
      </c>
      <c r="J104" s="4">
        <f>data[[#This Row],[Amount]]-data[[#This Row],[Cost]]</f>
        <v>5306</v>
      </c>
    </row>
    <row r="105" spans="3:10" x14ac:dyDescent="0.3">
      <c r="C105" t="s">
        <v>5</v>
      </c>
      <c r="D105" t="s">
        <v>39</v>
      </c>
      <c r="E105" t="s">
        <v>26</v>
      </c>
      <c r="F105" s="4">
        <v>5236</v>
      </c>
      <c r="G105" s="5">
        <v>51</v>
      </c>
      <c r="H105">
        <f>_xlfn.XLOOKUP(data[[#This Row],[Product]],products[Product],products[Cost per unit])</f>
        <v>5.6</v>
      </c>
      <c r="I105">
        <f>data[[#This Row],[Units]]*data[[#This Row],[Cost per unit]]</f>
        <v>285.59999999999997</v>
      </c>
      <c r="J105" s="4">
        <f>data[[#This Row],[Amount]]-data[[#This Row],[Cost]]</f>
        <v>4950.3999999999996</v>
      </c>
    </row>
    <row r="106" spans="3:10" x14ac:dyDescent="0.3">
      <c r="C106" t="s">
        <v>7</v>
      </c>
      <c r="D106" t="s">
        <v>35</v>
      </c>
      <c r="E106" t="s">
        <v>28</v>
      </c>
      <c r="F106" s="4">
        <v>5194</v>
      </c>
      <c r="G106" s="5">
        <v>288</v>
      </c>
      <c r="H106">
        <f>_xlfn.XLOOKUP(data[[#This Row],[Product]],products[Product],products[Cost per unit])</f>
        <v>10.38</v>
      </c>
      <c r="I106">
        <f>data[[#This Row],[Units]]*data[[#This Row],[Cost per unit]]</f>
        <v>2989.44</v>
      </c>
      <c r="J106" s="4">
        <f>data[[#This Row],[Amount]]-data[[#This Row],[Cost]]</f>
        <v>2204.56</v>
      </c>
    </row>
    <row r="107" spans="3:10" x14ac:dyDescent="0.3">
      <c r="C107" t="s">
        <v>5</v>
      </c>
      <c r="D107" t="s">
        <v>38</v>
      </c>
      <c r="E107" t="s">
        <v>32</v>
      </c>
      <c r="F107" s="4">
        <v>5075</v>
      </c>
      <c r="G107" s="5">
        <v>21</v>
      </c>
      <c r="H107">
        <f>_xlfn.XLOOKUP(data[[#This Row],[Product]],products[Product],products[Cost per unit])</f>
        <v>8.65</v>
      </c>
      <c r="I107">
        <f>data[[#This Row],[Units]]*data[[#This Row],[Cost per unit]]</f>
        <v>181.65</v>
      </c>
      <c r="J107" s="4">
        <f>data[[#This Row],[Amount]]-data[[#This Row],[Cost]]</f>
        <v>4893.3500000000004</v>
      </c>
    </row>
    <row r="108" spans="3:10" x14ac:dyDescent="0.3">
      <c r="C108" t="s">
        <v>40</v>
      </c>
      <c r="D108" t="s">
        <v>34</v>
      </c>
      <c r="E108" t="s">
        <v>17</v>
      </c>
      <c r="F108" s="4">
        <v>5019</v>
      </c>
      <c r="G108" s="5">
        <v>156</v>
      </c>
      <c r="H108">
        <f>_xlfn.XLOOKUP(data[[#This Row],[Product]],products[Product],products[Cost per unit])</f>
        <v>3.11</v>
      </c>
      <c r="I108">
        <f>data[[#This Row],[Units]]*data[[#This Row],[Cost per unit]]</f>
        <v>485.15999999999997</v>
      </c>
      <c r="J108" s="4">
        <f>data[[#This Row],[Amount]]-data[[#This Row],[Cost]]</f>
        <v>4533.84</v>
      </c>
    </row>
    <row r="109" spans="3:10" x14ac:dyDescent="0.3">
      <c r="C109" t="s">
        <v>8</v>
      </c>
      <c r="D109" t="s">
        <v>36</v>
      </c>
      <c r="E109" t="s">
        <v>23</v>
      </c>
      <c r="F109" s="4">
        <v>5019</v>
      </c>
      <c r="G109" s="5">
        <v>150</v>
      </c>
      <c r="H109">
        <f>_xlfn.XLOOKUP(data[[#This Row],[Product]],products[Product],products[Cost per unit])</f>
        <v>6.49</v>
      </c>
      <c r="I109">
        <f>data[[#This Row],[Units]]*data[[#This Row],[Cost per unit]]</f>
        <v>973.5</v>
      </c>
      <c r="J109" s="4">
        <f>data[[#This Row],[Amount]]-data[[#This Row],[Cost]]</f>
        <v>4045.5</v>
      </c>
    </row>
    <row r="110" spans="3:10" x14ac:dyDescent="0.3">
      <c r="C110" t="s">
        <v>8</v>
      </c>
      <c r="D110" t="s">
        <v>35</v>
      </c>
      <c r="E110" t="s">
        <v>22</v>
      </c>
      <c r="F110" s="4">
        <v>5012</v>
      </c>
      <c r="G110" s="5">
        <v>210</v>
      </c>
      <c r="H110">
        <f>_xlfn.XLOOKUP(data[[#This Row],[Product]],products[Product],products[Cost per unit])</f>
        <v>9.77</v>
      </c>
      <c r="I110">
        <f>data[[#This Row],[Units]]*data[[#This Row],[Cost per unit]]</f>
        <v>2051.6999999999998</v>
      </c>
      <c r="J110" s="4">
        <f>data[[#This Row],[Amount]]-data[[#This Row],[Cost]]</f>
        <v>2960.3</v>
      </c>
    </row>
    <row r="111" spans="3:10" x14ac:dyDescent="0.3">
      <c r="C111" t="s">
        <v>5</v>
      </c>
      <c r="D111" t="s">
        <v>37</v>
      </c>
      <c r="E111" t="s">
        <v>14</v>
      </c>
      <c r="F111" s="4">
        <v>4991</v>
      </c>
      <c r="G111" s="5">
        <v>12</v>
      </c>
      <c r="H111">
        <f>_xlfn.XLOOKUP(data[[#This Row],[Product]],products[Product],products[Cost per unit])</f>
        <v>11.7</v>
      </c>
      <c r="I111">
        <f>data[[#This Row],[Units]]*data[[#This Row],[Cost per unit]]</f>
        <v>140.39999999999998</v>
      </c>
      <c r="J111" s="4">
        <f>data[[#This Row],[Amount]]-data[[#This Row],[Cost]]</f>
        <v>4850.6000000000004</v>
      </c>
    </row>
    <row r="112" spans="3:10" x14ac:dyDescent="0.3">
      <c r="C112" t="s">
        <v>10</v>
      </c>
      <c r="D112" t="s">
        <v>34</v>
      </c>
      <c r="E112" t="s">
        <v>26</v>
      </c>
      <c r="F112" s="4">
        <v>4991</v>
      </c>
      <c r="G112" s="5">
        <v>9</v>
      </c>
      <c r="H112">
        <f>_xlfn.XLOOKUP(data[[#This Row],[Product]],products[Product],products[Cost per unit])</f>
        <v>5.6</v>
      </c>
      <c r="I112">
        <f>data[[#This Row],[Units]]*data[[#This Row],[Cost per unit]]</f>
        <v>50.4</v>
      </c>
      <c r="J112" s="4">
        <f>data[[#This Row],[Amount]]-data[[#This Row],[Cost]]</f>
        <v>4940.6000000000004</v>
      </c>
    </row>
    <row r="113" spans="3:10" x14ac:dyDescent="0.3">
      <c r="C113" t="s">
        <v>6</v>
      </c>
      <c r="D113" t="s">
        <v>36</v>
      </c>
      <c r="E113" t="s">
        <v>17</v>
      </c>
      <c r="F113" s="4">
        <v>4970</v>
      </c>
      <c r="G113" s="5">
        <v>156</v>
      </c>
      <c r="H113">
        <f>_xlfn.XLOOKUP(data[[#This Row],[Product]],products[Product],products[Cost per unit])</f>
        <v>3.11</v>
      </c>
      <c r="I113">
        <f>data[[#This Row],[Units]]*data[[#This Row],[Cost per unit]]</f>
        <v>485.15999999999997</v>
      </c>
      <c r="J113" s="4">
        <f>data[[#This Row],[Amount]]-data[[#This Row],[Cost]]</f>
        <v>4484.84</v>
      </c>
    </row>
    <row r="114" spans="3:10" x14ac:dyDescent="0.3">
      <c r="C114" t="s">
        <v>3</v>
      </c>
      <c r="D114" t="s">
        <v>39</v>
      </c>
      <c r="E114" t="s">
        <v>26</v>
      </c>
      <c r="F114" s="4">
        <v>4956</v>
      </c>
      <c r="G114" s="5">
        <v>171</v>
      </c>
      <c r="H114">
        <f>_xlfn.XLOOKUP(data[[#This Row],[Product]],products[Product],products[Cost per unit])</f>
        <v>5.6</v>
      </c>
      <c r="I114">
        <f>data[[#This Row],[Units]]*data[[#This Row],[Cost per unit]]</f>
        <v>957.59999999999991</v>
      </c>
      <c r="J114" s="4">
        <f>data[[#This Row],[Amount]]-data[[#This Row],[Cost]]</f>
        <v>3998.4</v>
      </c>
    </row>
    <row r="115" spans="3:10" x14ac:dyDescent="0.3">
      <c r="C115" t="s">
        <v>6</v>
      </c>
      <c r="D115" t="s">
        <v>37</v>
      </c>
      <c r="E115" t="s">
        <v>23</v>
      </c>
      <c r="F115" s="4">
        <v>4949</v>
      </c>
      <c r="G115" s="5">
        <v>189</v>
      </c>
      <c r="H115">
        <f>_xlfn.XLOOKUP(data[[#This Row],[Product]],products[Product],products[Cost per unit])</f>
        <v>6.49</v>
      </c>
      <c r="I115">
        <f>data[[#This Row],[Units]]*data[[#This Row],[Cost per unit]]</f>
        <v>1226.6100000000001</v>
      </c>
      <c r="J115" s="4">
        <f>data[[#This Row],[Amount]]-data[[#This Row],[Cost]]</f>
        <v>3722.39</v>
      </c>
    </row>
    <row r="116" spans="3:10" x14ac:dyDescent="0.3">
      <c r="C116" t="s">
        <v>41</v>
      </c>
      <c r="D116" t="s">
        <v>34</v>
      </c>
      <c r="E116" t="s">
        <v>23</v>
      </c>
      <c r="F116" s="4">
        <v>4935</v>
      </c>
      <c r="G116" s="5">
        <v>126</v>
      </c>
      <c r="H116">
        <f>_xlfn.XLOOKUP(data[[#This Row],[Product]],products[Product],products[Cost per unit])</f>
        <v>6.49</v>
      </c>
      <c r="I116">
        <f>data[[#This Row],[Units]]*data[[#This Row],[Cost per unit]]</f>
        <v>817.74</v>
      </c>
      <c r="J116" s="4">
        <f>data[[#This Row],[Amount]]-data[[#This Row],[Cost]]</f>
        <v>4117.26</v>
      </c>
    </row>
    <row r="117" spans="3:10" x14ac:dyDescent="0.3">
      <c r="C117" t="s">
        <v>10</v>
      </c>
      <c r="D117" t="s">
        <v>39</v>
      </c>
      <c r="E117" t="s">
        <v>21</v>
      </c>
      <c r="F117" s="4">
        <v>4858</v>
      </c>
      <c r="G117" s="5">
        <v>279</v>
      </c>
      <c r="H117">
        <f>_xlfn.XLOOKUP(data[[#This Row],[Product]],products[Product],products[Cost per unit])</f>
        <v>9</v>
      </c>
      <c r="I117">
        <f>data[[#This Row],[Units]]*data[[#This Row],[Cost per unit]]</f>
        <v>2511</v>
      </c>
      <c r="J117" s="4">
        <f>data[[#This Row],[Amount]]-data[[#This Row],[Cost]]</f>
        <v>2347</v>
      </c>
    </row>
    <row r="118" spans="3:10" x14ac:dyDescent="0.3">
      <c r="C118" t="s">
        <v>2</v>
      </c>
      <c r="D118" t="s">
        <v>39</v>
      </c>
      <c r="E118" t="s">
        <v>15</v>
      </c>
      <c r="F118" s="4">
        <v>4802</v>
      </c>
      <c r="G118" s="5">
        <v>36</v>
      </c>
      <c r="H118">
        <f>_xlfn.XLOOKUP(data[[#This Row],[Product]],products[Product],products[Cost per unit])</f>
        <v>11.73</v>
      </c>
      <c r="I118">
        <f>data[[#This Row],[Units]]*data[[#This Row],[Cost per unit]]</f>
        <v>422.28000000000003</v>
      </c>
      <c r="J118" s="4">
        <f>data[[#This Row],[Amount]]-data[[#This Row],[Cost]]</f>
        <v>4379.72</v>
      </c>
    </row>
    <row r="119" spans="3:10" x14ac:dyDescent="0.3">
      <c r="C119" t="s">
        <v>6</v>
      </c>
      <c r="D119" t="s">
        <v>35</v>
      </c>
      <c r="E119" t="s">
        <v>30</v>
      </c>
      <c r="F119" s="4">
        <v>4781</v>
      </c>
      <c r="G119" s="5">
        <v>123</v>
      </c>
      <c r="H119">
        <f>_xlfn.XLOOKUP(data[[#This Row],[Product]],products[Product],products[Cost per unit])</f>
        <v>14.49</v>
      </c>
      <c r="I119">
        <f>data[[#This Row],[Units]]*data[[#This Row],[Cost per unit]]</f>
        <v>1782.27</v>
      </c>
      <c r="J119" s="4">
        <f>data[[#This Row],[Amount]]-data[[#This Row],[Cost]]</f>
        <v>2998.73</v>
      </c>
    </row>
    <row r="120" spans="3:10" x14ac:dyDescent="0.3">
      <c r="C120" t="s">
        <v>41</v>
      </c>
      <c r="D120" t="s">
        <v>35</v>
      </c>
      <c r="E120" t="s">
        <v>13</v>
      </c>
      <c r="F120" s="4">
        <v>4760</v>
      </c>
      <c r="G120" s="5">
        <v>69</v>
      </c>
      <c r="H120">
        <f>_xlfn.XLOOKUP(data[[#This Row],[Product]],products[Product],products[Cost per unit])</f>
        <v>9.33</v>
      </c>
      <c r="I120">
        <f>data[[#This Row],[Units]]*data[[#This Row],[Cost per unit]]</f>
        <v>643.77</v>
      </c>
      <c r="J120" s="4">
        <f>data[[#This Row],[Amount]]-data[[#This Row],[Cost]]</f>
        <v>4116.2299999999996</v>
      </c>
    </row>
    <row r="121" spans="3:10" x14ac:dyDescent="0.3">
      <c r="C121" t="s">
        <v>8</v>
      </c>
      <c r="D121" t="s">
        <v>35</v>
      </c>
      <c r="E121" t="s">
        <v>27</v>
      </c>
      <c r="F121" s="4">
        <v>4753</v>
      </c>
      <c r="G121" s="5">
        <v>300</v>
      </c>
      <c r="H121">
        <f>_xlfn.XLOOKUP(data[[#This Row],[Product]],products[Product],products[Cost per unit])</f>
        <v>16.73</v>
      </c>
      <c r="I121">
        <f>data[[#This Row],[Units]]*data[[#This Row],[Cost per unit]]</f>
        <v>5019</v>
      </c>
      <c r="J121" s="4">
        <f>data[[#This Row],[Amount]]-data[[#This Row],[Cost]]</f>
        <v>-266</v>
      </c>
    </row>
    <row r="122" spans="3:10" x14ac:dyDescent="0.3">
      <c r="C122" t="s">
        <v>5</v>
      </c>
      <c r="D122" t="s">
        <v>35</v>
      </c>
      <c r="E122" t="s">
        <v>31</v>
      </c>
      <c r="F122" s="4">
        <v>4753</v>
      </c>
      <c r="G122" s="5">
        <v>246</v>
      </c>
      <c r="H122">
        <f>_xlfn.XLOOKUP(data[[#This Row],[Product]],products[Product],products[Cost per unit])</f>
        <v>5.79</v>
      </c>
      <c r="I122">
        <f>data[[#This Row],[Units]]*data[[#This Row],[Cost per unit]]</f>
        <v>1424.34</v>
      </c>
      <c r="J122" s="4">
        <f>data[[#This Row],[Amount]]-data[[#This Row],[Cost]]</f>
        <v>3328.66</v>
      </c>
    </row>
    <row r="123" spans="3:10" x14ac:dyDescent="0.3">
      <c r="C123" t="s">
        <v>40</v>
      </c>
      <c r="D123" t="s">
        <v>35</v>
      </c>
      <c r="E123" t="s">
        <v>16</v>
      </c>
      <c r="F123" s="4">
        <v>4725</v>
      </c>
      <c r="G123" s="5">
        <v>174</v>
      </c>
      <c r="H123">
        <f>_xlfn.XLOOKUP(data[[#This Row],[Product]],products[Product],products[Cost per unit])</f>
        <v>8.7899999999999991</v>
      </c>
      <c r="I123">
        <f>data[[#This Row],[Units]]*data[[#This Row],[Cost per unit]]</f>
        <v>1529.4599999999998</v>
      </c>
      <c r="J123" s="4">
        <f>data[[#This Row],[Amount]]-data[[#This Row],[Cost]]</f>
        <v>3195.54</v>
      </c>
    </row>
    <row r="124" spans="3:10" x14ac:dyDescent="0.3">
      <c r="C124" t="s">
        <v>10</v>
      </c>
      <c r="D124" t="s">
        <v>37</v>
      </c>
      <c r="E124" t="s">
        <v>23</v>
      </c>
      <c r="F124" s="4">
        <v>4683</v>
      </c>
      <c r="G124" s="5">
        <v>30</v>
      </c>
      <c r="H124">
        <f>_xlfn.XLOOKUP(data[[#This Row],[Product]],products[Product],products[Cost per unit])</f>
        <v>6.49</v>
      </c>
      <c r="I124">
        <f>data[[#This Row],[Units]]*data[[#This Row],[Cost per unit]]</f>
        <v>194.70000000000002</v>
      </c>
      <c r="J124" s="4">
        <f>data[[#This Row],[Amount]]-data[[#This Row],[Cost]]</f>
        <v>4488.3</v>
      </c>
    </row>
    <row r="125" spans="3:10" x14ac:dyDescent="0.3">
      <c r="C125" t="s">
        <v>7</v>
      </c>
      <c r="D125" t="s">
        <v>35</v>
      </c>
      <c r="E125" t="s">
        <v>14</v>
      </c>
      <c r="F125" s="4">
        <v>4606</v>
      </c>
      <c r="G125" s="5">
        <v>63</v>
      </c>
      <c r="H125">
        <f>_xlfn.XLOOKUP(data[[#This Row],[Product]],products[Product],products[Cost per unit])</f>
        <v>11.7</v>
      </c>
      <c r="I125">
        <f>data[[#This Row],[Units]]*data[[#This Row],[Cost per unit]]</f>
        <v>737.09999999999991</v>
      </c>
      <c r="J125" s="4">
        <f>data[[#This Row],[Amount]]-data[[#This Row],[Cost]]</f>
        <v>3868.9</v>
      </c>
    </row>
    <row r="126" spans="3:10" x14ac:dyDescent="0.3">
      <c r="C126" t="s">
        <v>3</v>
      </c>
      <c r="D126" t="s">
        <v>37</v>
      </c>
      <c r="E126" t="s">
        <v>29</v>
      </c>
      <c r="F126" s="4">
        <v>4592</v>
      </c>
      <c r="G126" s="5">
        <v>324</v>
      </c>
      <c r="H126">
        <f>_xlfn.XLOOKUP(data[[#This Row],[Product]],products[Product],products[Cost per unit])</f>
        <v>7.16</v>
      </c>
      <c r="I126">
        <f>data[[#This Row],[Units]]*data[[#This Row],[Cost per unit]]</f>
        <v>2319.84</v>
      </c>
      <c r="J126" s="4">
        <f>data[[#This Row],[Amount]]-data[[#This Row],[Cost]]</f>
        <v>2272.16</v>
      </c>
    </row>
    <row r="127" spans="3:10" x14ac:dyDescent="0.3">
      <c r="C127" t="s">
        <v>7</v>
      </c>
      <c r="D127" t="s">
        <v>35</v>
      </c>
      <c r="E127" t="s">
        <v>19</v>
      </c>
      <c r="F127" s="4">
        <v>4585</v>
      </c>
      <c r="G127" s="5">
        <v>240</v>
      </c>
      <c r="H127">
        <f>_xlfn.XLOOKUP(data[[#This Row],[Product]],products[Product],products[Cost per unit])</f>
        <v>7.64</v>
      </c>
      <c r="I127">
        <f>data[[#This Row],[Units]]*data[[#This Row],[Cost per unit]]</f>
        <v>1833.6</v>
      </c>
      <c r="J127" s="4">
        <f>data[[#This Row],[Amount]]-data[[#This Row],[Cost]]</f>
        <v>2751.4</v>
      </c>
    </row>
    <row r="128" spans="3:10" x14ac:dyDescent="0.3">
      <c r="C128" t="s">
        <v>7</v>
      </c>
      <c r="D128" t="s">
        <v>37</v>
      </c>
      <c r="E128" t="s">
        <v>17</v>
      </c>
      <c r="F128" s="4">
        <v>4487</v>
      </c>
      <c r="G128" s="5">
        <v>111</v>
      </c>
      <c r="H128">
        <f>_xlfn.XLOOKUP(data[[#This Row],[Product]],products[Product],products[Cost per unit])</f>
        <v>3.11</v>
      </c>
      <c r="I128">
        <f>data[[#This Row],[Units]]*data[[#This Row],[Cost per unit]]</f>
        <v>345.21</v>
      </c>
      <c r="J128" s="4">
        <f>data[[#This Row],[Amount]]-data[[#This Row],[Cost]]</f>
        <v>4141.79</v>
      </c>
    </row>
    <row r="129" spans="3:10" x14ac:dyDescent="0.3">
      <c r="C129" t="s">
        <v>7</v>
      </c>
      <c r="D129" t="s">
        <v>37</v>
      </c>
      <c r="E129" t="s">
        <v>16</v>
      </c>
      <c r="F129" s="4">
        <v>4487</v>
      </c>
      <c r="G129" s="5">
        <v>333</v>
      </c>
      <c r="H129">
        <f>_xlfn.XLOOKUP(data[[#This Row],[Product]],products[Product],products[Cost per unit])</f>
        <v>8.7899999999999991</v>
      </c>
      <c r="I129">
        <f>data[[#This Row],[Units]]*data[[#This Row],[Cost per unit]]</f>
        <v>2927.0699999999997</v>
      </c>
      <c r="J129" s="4">
        <f>data[[#This Row],[Amount]]-data[[#This Row],[Cost]]</f>
        <v>1559.9300000000003</v>
      </c>
    </row>
    <row r="130" spans="3:10" x14ac:dyDescent="0.3">
      <c r="C130" t="s">
        <v>5</v>
      </c>
      <c r="D130" t="s">
        <v>35</v>
      </c>
      <c r="E130" t="s">
        <v>29</v>
      </c>
      <c r="F130" s="4">
        <v>4480</v>
      </c>
      <c r="G130" s="5">
        <v>357</v>
      </c>
      <c r="H130">
        <f>_xlfn.XLOOKUP(data[[#This Row],[Product]],products[Product],products[Cost per unit])</f>
        <v>7.16</v>
      </c>
      <c r="I130">
        <f>data[[#This Row],[Units]]*data[[#This Row],[Cost per unit]]</f>
        <v>2556.12</v>
      </c>
      <c r="J130" s="4">
        <f>data[[#This Row],[Amount]]-data[[#This Row],[Cost]]</f>
        <v>1923.88</v>
      </c>
    </row>
    <row r="131" spans="3:10" x14ac:dyDescent="0.3">
      <c r="C131" t="s">
        <v>7</v>
      </c>
      <c r="D131" t="s">
        <v>39</v>
      </c>
      <c r="E131" t="s">
        <v>17</v>
      </c>
      <c r="F131" s="4">
        <v>4438</v>
      </c>
      <c r="G131" s="5">
        <v>246</v>
      </c>
      <c r="H131">
        <f>_xlfn.XLOOKUP(data[[#This Row],[Product]],products[Product],products[Cost per unit])</f>
        <v>3.11</v>
      </c>
      <c r="I131">
        <f>data[[#This Row],[Units]]*data[[#This Row],[Cost per unit]]</f>
        <v>765.06</v>
      </c>
      <c r="J131" s="4">
        <f>data[[#This Row],[Amount]]-data[[#This Row],[Cost]]</f>
        <v>3672.94</v>
      </c>
    </row>
    <row r="132" spans="3:10" x14ac:dyDescent="0.3">
      <c r="C132" t="s">
        <v>40</v>
      </c>
      <c r="D132" t="s">
        <v>36</v>
      </c>
      <c r="E132" t="s">
        <v>13</v>
      </c>
      <c r="F132" s="4">
        <v>4424</v>
      </c>
      <c r="G132" s="5">
        <v>201</v>
      </c>
      <c r="H132">
        <f>_xlfn.XLOOKUP(data[[#This Row],[Product]],products[Product],products[Cost per unit])</f>
        <v>9.33</v>
      </c>
      <c r="I132">
        <f>data[[#This Row],[Units]]*data[[#This Row],[Cost per unit]]</f>
        <v>1875.33</v>
      </c>
      <c r="J132" s="4">
        <f>data[[#This Row],[Amount]]-data[[#This Row],[Cost]]</f>
        <v>2548.67</v>
      </c>
    </row>
    <row r="133" spans="3:10" x14ac:dyDescent="0.3">
      <c r="C133" t="s">
        <v>2</v>
      </c>
      <c r="D133" t="s">
        <v>38</v>
      </c>
      <c r="E133" t="s">
        <v>23</v>
      </c>
      <c r="F133" s="4">
        <v>4417</v>
      </c>
      <c r="G133" s="5">
        <v>153</v>
      </c>
      <c r="H133">
        <f>_xlfn.XLOOKUP(data[[#This Row],[Product]],products[Product],products[Cost per unit])</f>
        <v>6.49</v>
      </c>
      <c r="I133">
        <f>data[[#This Row],[Units]]*data[[#This Row],[Cost per unit]]</f>
        <v>992.97</v>
      </c>
      <c r="J133" s="4">
        <f>data[[#This Row],[Amount]]-data[[#This Row],[Cost]]</f>
        <v>3424.0299999999997</v>
      </c>
    </row>
    <row r="134" spans="3:10" x14ac:dyDescent="0.3">
      <c r="C134" t="s">
        <v>2</v>
      </c>
      <c r="D134" t="s">
        <v>38</v>
      </c>
      <c r="E134" t="s">
        <v>31</v>
      </c>
      <c r="F134" s="4">
        <v>4326</v>
      </c>
      <c r="G134" s="5">
        <v>348</v>
      </c>
      <c r="H134">
        <f>_xlfn.XLOOKUP(data[[#This Row],[Product]],products[Product],products[Cost per unit])</f>
        <v>5.79</v>
      </c>
      <c r="I134">
        <f>data[[#This Row],[Units]]*data[[#This Row],[Cost per unit]]</f>
        <v>2014.92</v>
      </c>
      <c r="J134" s="4">
        <f>data[[#This Row],[Amount]]-data[[#This Row],[Cost]]</f>
        <v>2311.08</v>
      </c>
    </row>
    <row r="135" spans="3:10" x14ac:dyDescent="0.3">
      <c r="C135" t="s">
        <v>6</v>
      </c>
      <c r="D135" t="s">
        <v>36</v>
      </c>
      <c r="E135" t="s">
        <v>13</v>
      </c>
      <c r="F135" s="4">
        <v>4319</v>
      </c>
      <c r="G135" s="5">
        <v>30</v>
      </c>
      <c r="H135">
        <f>_xlfn.XLOOKUP(data[[#This Row],[Product]],products[Product],products[Cost per unit])</f>
        <v>9.33</v>
      </c>
      <c r="I135">
        <f>data[[#This Row],[Units]]*data[[#This Row],[Cost per unit]]</f>
        <v>279.89999999999998</v>
      </c>
      <c r="J135" s="4">
        <f>data[[#This Row],[Amount]]-data[[#This Row],[Cost]]</f>
        <v>4039.1</v>
      </c>
    </row>
    <row r="136" spans="3:10" x14ac:dyDescent="0.3">
      <c r="C136" t="s">
        <v>9</v>
      </c>
      <c r="D136" t="s">
        <v>37</v>
      </c>
      <c r="E136" t="s">
        <v>25</v>
      </c>
      <c r="F136" s="4">
        <v>4305</v>
      </c>
      <c r="G136" s="5">
        <v>156</v>
      </c>
      <c r="H136">
        <f>_xlfn.XLOOKUP(data[[#This Row],[Product]],products[Product],products[Cost per unit])</f>
        <v>13.15</v>
      </c>
      <c r="I136">
        <f>data[[#This Row],[Units]]*data[[#This Row],[Cost per unit]]</f>
        <v>2051.4</v>
      </c>
      <c r="J136" s="4">
        <f>data[[#This Row],[Amount]]-data[[#This Row],[Cost]]</f>
        <v>2253.6</v>
      </c>
    </row>
    <row r="137" spans="3:10" x14ac:dyDescent="0.3">
      <c r="C137" t="s">
        <v>6</v>
      </c>
      <c r="D137" t="s">
        <v>34</v>
      </c>
      <c r="E137" t="s">
        <v>27</v>
      </c>
      <c r="F137" s="4">
        <v>4242</v>
      </c>
      <c r="G137" s="5">
        <v>207</v>
      </c>
      <c r="H137">
        <f>_xlfn.XLOOKUP(data[[#This Row],[Product]],products[Product],products[Cost per unit])</f>
        <v>16.73</v>
      </c>
      <c r="I137">
        <f>data[[#This Row],[Units]]*data[[#This Row],[Cost per unit]]</f>
        <v>3463.11</v>
      </c>
      <c r="J137" s="4">
        <f>data[[#This Row],[Amount]]-data[[#This Row],[Cost]]</f>
        <v>778.88999999999987</v>
      </c>
    </row>
    <row r="138" spans="3:10" x14ac:dyDescent="0.3">
      <c r="C138" t="s">
        <v>9</v>
      </c>
      <c r="D138" t="s">
        <v>38</v>
      </c>
      <c r="E138" t="s">
        <v>24</v>
      </c>
      <c r="F138" s="4">
        <v>4137</v>
      </c>
      <c r="G138" s="5">
        <v>60</v>
      </c>
      <c r="H138">
        <f>_xlfn.XLOOKUP(data[[#This Row],[Product]],products[Product],products[Cost per unit])</f>
        <v>4.97</v>
      </c>
      <c r="I138">
        <f>data[[#This Row],[Units]]*data[[#This Row],[Cost per unit]]</f>
        <v>298.2</v>
      </c>
      <c r="J138" s="4">
        <f>data[[#This Row],[Amount]]-data[[#This Row],[Cost]]</f>
        <v>3838.8</v>
      </c>
    </row>
    <row r="139" spans="3:10" x14ac:dyDescent="0.3">
      <c r="C139" t="s">
        <v>10</v>
      </c>
      <c r="D139" t="s">
        <v>34</v>
      </c>
      <c r="E139" t="s">
        <v>22</v>
      </c>
      <c r="F139" s="4">
        <v>4053</v>
      </c>
      <c r="G139" s="5">
        <v>24</v>
      </c>
      <c r="H139">
        <f>_xlfn.XLOOKUP(data[[#This Row],[Product]],products[Product],products[Cost per unit])</f>
        <v>9.77</v>
      </c>
      <c r="I139">
        <f>data[[#This Row],[Units]]*data[[#This Row],[Cost per unit]]</f>
        <v>234.48</v>
      </c>
      <c r="J139" s="4">
        <f>data[[#This Row],[Amount]]-data[[#This Row],[Cost]]</f>
        <v>3818.52</v>
      </c>
    </row>
    <row r="140" spans="3:10" x14ac:dyDescent="0.3">
      <c r="C140" t="s">
        <v>40</v>
      </c>
      <c r="D140" t="s">
        <v>34</v>
      </c>
      <c r="E140" t="s">
        <v>19</v>
      </c>
      <c r="F140" s="4">
        <v>4018</v>
      </c>
      <c r="G140" s="5">
        <v>162</v>
      </c>
      <c r="H140">
        <f>_xlfn.XLOOKUP(data[[#This Row],[Product]],products[Product],products[Cost per unit])</f>
        <v>7.64</v>
      </c>
      <c r="I140">
        <f>data[[#This Row],[Units]]*data[[#This Row],[Cost per unit]]</f>
        <v>1237.6799999999998</v>
      </c>
      <c r="J140" s="4">
        <f>data[[#This Row],[Amount]]-data[[#This Row],[Cost]]</f>
        <v>2780.32</v>
      </c>
    </row>
    <row r="141" spans="3:10" x14ac:dyDescent="0.3">
      <c r="C141" t="s">
        <v>5</v>
      </c>
      <c r="D141" t="s">
        <v>39</v>
      </c>
      <c r="E141" t="s">
        <v>24</v>
      </c>
      <c r="F141" s="4">
        <v>4018</v>
      </c>
      <c r="G141" s="5">
        <v>171</v>
      </c>
      <c r="H141">
        <f>_xlfn.XLOOKUP(data[[#This Row],[Product]],products[Product],products[Cost per unit])</f>
        <v>4.97</v>
      </c>
      <c r="I141">
        <f>data[[#This Row],[Units]]*data[[#This Row],[Cost per unit]]</f>
        <v>849.87</v>
      </c>
      <c r="J141" s="4">
        <f>data[[#This Row],[Amount]]-data[[#This Row],[Cost]]</f>
        <v>3168.13</v>
      </c>
    </row>
    <row r="142" spans="3:10" x14ac:dyDescent="0.3">
      <c r="C142" t="s">
        <v>2</v>
      </c>
      <c r="D142" t="s">
        <v>39</v>
      </c>
      <c r="E142" t="s">
        <v>33</v>
      </c>
      <c r="F142" s="4">
        <v>4018</v>
      </c>
      <c r="G142" s="5">
        <v>126</v>
      </c>
      <c r="H142">
        <f>_xlfn.XLOOKUP(data[[#This Row],[Product]],products[Product],products[Cost per unit])</f>
        <v>12.37</v>
      </c>
      <c r="I142">
        <f>data[[#This Row],[Units]]*data[[#This Row],[Cost per unit]]</f>
        <v>1558.62</v>
      </c>
      <c r="J142" s="4">
        <f>data[[#This Row],[Amount]]-data[[#This Row],[Cost]]</f>
        <v>2459.38</v>
      </c>
    </row>
    <row r="143" spans="3:10" x14ac:dyDescent="0.3">
      <c r="C143" t="s">
        <v>3</v>
      </c>
      <c r="D143" t="s">
        <v>37</v>
      </c>
      <c r="E143" t="s">
        <v>17</v>
      </c>
      <c r="F143" s="4">
        <v>3983</v>
      </c>
      <c r="G143" s="5">
        <v>144</v>
      </c>
      <c r="H143">
        <f>_xlfn.XLOOKUP(data[[#This Row],[Product]],products[Product],products[Cost per unit])</f>
        <v>3.11</v>
      </c>
      <c r="I143">
        <f>data[[#This Row],[Units]]*data[[#This Row],[Cost per unit]]</f>
        <v>447.84</v>
      </c>
      <c r="J143" s="4">
        <f>data[[#This Row],[Amount]]-data[[#This Row],[Cost]]</f>
        <v>3535.16</v>
      </c>
    </row>
    <row r="144" spans="3:10" x14ac:dyDescent="0.3">
      <c r="C144" t="s">
        <v>41</v>
      </c>
      <c r="D144" t="s">
        <v>39</v>
      </c>
      <c r="E144" t="s">
        <v>14</v>
      </c>
      <c r="F144" s="4">
        <v>3976</v>
      </c>
      <c r="G144" s="5">
        <v>72</v>
      </c>
      <c r="H144">
        <f>_xlfn.XLOOKUP(data[[#This Row],[Product]],products[Product],products[Cost per unit])</f>
        <v>11.7</v>
      </c>
      <c r="I144">
        <f>data[[#This Row],[Units]]*data[[#This Row],[Cost per unit]]</f>
        <v>842.4</v>
      </c>
      <c r="J144" s="4">
        <f>data[[#This Row],[Amount]]-data[[#This Row],[Cost]]</f>
        <v>3133.6</v>
      </c>
    </row>
    <row r="145" spans="3:10" x14ac:dyDescent="0.3">
      <c r="C145" t="s">
        <v>9</v>
      </c>
      <c r="D145" t="s">
        <v>39</v>
      </c>
      <c r="E145" t="s">
        <v>24</v>
      </c>
      <c r="F145" s="4">
        <v>3920</v>
      </c>
      <c r="G145" s="5">
        <v>306</v>
      </c>
      <c r="H145">
        <f>_xlfn.XLOOKUP(data[[#This Row],[Product]],products[Product],products[Cost per unit])</f>
        <v>4.97</v>
      </c>
      <c r="I145">
        <f>data[[#This Row],[Units]]*data[[#This Row],[Cost per unit]]</f>
        <v>1520.82</v>
      </c>
      <c r="J145" s="4">
        <f>data[[#This Row],[Amount]]-data[[#This Row],[Cost]]</f>
        <v>2399.1800000000003</v>
      </c>
    </row>
    <row r="146" spans="3:10" x14ac:dyDescent="0.3">
      <c r="C146" t="s">
        <v>6</v>
      </c>
      <c r="D146" t="s">
        <v>35</v>
      </c>
      <c r="E146" t="s">
        <v>27</v>
      </c>
      <c r="F146" s="4">
        <v>3864</v>
      </c>
      <c r="G146" s="5">
        <v>177</v>
      </c>
      <c r="H146">
        <f>_xlfn.XLOOKUP(data[[#This Row],[Product]],products[Product],products[Cost per unit])</f>
        <v>16.73</v>
      </c>
      <c r="I146">
        <f>data[[#This Row],[Units]]*data[[#This Row],[Cost per unit]]</f>
        <v>2961.21</v>
      </c>
      <c r="J146" s="4">
        <f>data[[#This Row],[Amount]]-data[[#This Row],[Cost]]</f>
        <v>902.79</v>
      </c>
    </row>
    <row r="147" spans="3:10" x14ac:dyDescent="0.3">
      <c r="C147" t="s">
        <v>9</v>
      </c>
      <c r="D147" t="s">
        <v>38</v>
      </c>
      <c r="E147" t="s">
        <v>25</v>
      </c>
      <c r="F147" s="4">
        <v>3850</v>
      </c>
      <c r="G147" s="5">
        <v>102</v>
      </c>
      <c r="H147">
        <f>_xlfn.XLOOKUP(data[[#This Row],[Product]],products[Product],products[Cost per unit])</f>
        <v>13.15</v>
      </c>
      <c r="I147">
        <f>data[[#This Row],[Units]]*data[[#This Row],[Cost per unit]]</f>
        <v>1341.3</v>
      </c>
      <c r="J147" s="4">
        <f>data[[#This Row],[Amount]]-data[[#This Row],[Cost]]</f>
        <v>2508.6999999999998</v>
      </c>
    </row>
    <row r="148" spans="3:10" x14ac:dyDescent="0.3">
      <c r="C148" t="s">
        <v>7</v>
      </c>
      <c r="D148" t="s">
        <v>34</v>
      </c>
      <c r="E148" t="s">
        <v>15</v>
      </c>
      <c r="F148" s="4">
        <v>3829</v>
      </c>
      <c r="G148" s="5">
        <v>24</v>
      </c>
      <c r="H148">
        <f>_xlfn.XLOOKUP(data[[#This Row],[Product]],products[Product],products[Cost per unit])</f>
        <v>11.73</v>
      </c>
      <c r="I148">
        <f>data[[#This Row],[Units]]*data[[#This Row],[Cost per unit]]</f>
        <v>281.52</v>
      </c>
      <c r="J148" s="4">
        <f>data[[#This Row],[Amount]]-data[[#This Row],[Cost]]</f>
        <v>3547.48</v>
      </c>
    </row>
    <row r="149" spans="3:10" x14ac:dyDescent="0.3">
      <c r="C149" t="s">
        <v>10</v>
      </c>
      <c r="D149" t="s">
        <v>35</v>
      </c>
      <c r="E149" t="s">
        <v>18</v>
      </c>
      <c r="F149" s="4">
        <v>3808</v>
      </c>
      <c r="G149" s="5">
        <v>279</v>
      </c>
      <c r="H149">
        <f>_xlfn.XLOOKUP(data[[#This Row],[Product]],products[Product],products[Cost per unit])</f>
        <v>6.47</v>
      </c>
      <c r="I149">
        <f>data[[#This Row],[Units]]*data[[#This Row],[Cost per unit]]</f>
        <v>1805.1299999999999</v>
      </c>
      <c r="J149" s="4">
        <f>data[[#This Row],[Amount]]-data[[#This Row],[Cost]]</f>
        <v>2002.8700000000001</v>
      </c>
    </row>
    <row r="150" spans="3:10" x14ac:dyDescent="0.3">
      <c r="C150" t="s">
        <v>40</v>
      </c>
      <c r="D150" t="s">
        <v>34</v>
      </c>
      <c r="E150" t="s">
        <v>33</v>
      </c>
      <c r="F150" s="4">
        <v>3794</v>
      </c>
      <c r="G150" s="5">
        <v>159</v>
      </c>
      <c r="H150">
        <f>_xlfn.XLOOKUP(data[[#This Row],[Product]],products[Product],products[Cost per unit])</f>
        <v>12.37</v>
      </c>
      <c r="I150">
        <f>data[[#This Row],[Units]]*data[[#This Row],[Cost per unit]]</f>
        <v>1966.83</v>
      </c>
      <c r="J150" s="4">
        <f>data[[#This Row],[Amount]]-data[[#This Row],[Cost]]</f>
        <v>1827.17</v>
      </c>
    </row>
    <row r="151" spans="3:10" x14ac:dyDescent="0.3">
      <c r="C151" t="s">
        <v>3</v>
      </c>
      <c r="D151" t="s">
        <v>36</v>
      </c>
      <c r="E151" t="s">
        <v>23</v>
      </c>
      <c r="F151" s="4">
        <v>3773</v>
      </c>
      <c r="G151" s="5">
        <v>165</v>
      </c>
      <c r="H151">
        <f>_xlfn.XLOOKUP(data[[#This Row],[Product]],products[Product],products[Cost per unit])</f>
        <v>6.49</v>
      </c>
      <c r="I151">
        <f>data[[#This Row],[Units]]*data[[#This Row],[Cost per unit]]</f>
        <v>1070.8500000000001</v>
      </c>
      <c r="J151" s="4">
        <f>data[[#This Row],[Amount]]-data[[#This Row],[Cost]]</f>
        <v>2702.1499999999996</v>
      </c>
    </row>
    <row r="152" spans="3:10" x14ac:dyDescent="0.3">
      <c r="C152" t="s">
        <v>6</v>
      </c>
      <c r="D152" t="s">
        <v>34</v>
      </c>
      <c r="E152" t="s">
        <v>17</v>
      </c>
      <c r="F152" s="4">
        <v>3759</v>
      </c>
      <c r="G152" s="5">
        <v>150</v>
      </c>
      <c r="H152">
        <f>_xlfn.XLOOKUP(data[[#This Row],[Product]],products[Product],products[Cost per unit])</f>
        <v>3.11</v>
      </c>
      <c r="I152">
        <f>data[[#This Row],[Units]]*data[[#This Row],[Cost per unit]]</f>
        <v>466.5</v>
      </c>
      <c r="J152" s="4">
        <f>data[[#This Row],[Amount]]-data[[#This Row],[Cost]]</f>
        <v>3292.5</v>
      </c>
    </row>
    <row r="153" spans="3:10" x14ac:dyDescent="0.3">
      <c r="C153" t="s">
        <v>8</v>
      </c>
      <c r="D153" t="s">
        <v>38</v>
      </c>
      <c r="E153" t="s">
        <v>32</v>
      </c>
      <c r="F153" s="4">
        <v>3752</v>
      </c>
      <c r="G153" s="5">
        <v>213</v>
      </c>
      <c r="H153">
        <f>_xlfn.XLOOKUP(data[[#This Row],[Product]],products[Product],products[Cost per unit])</f>
        <v>8.65</v>
      </c>
      <c r="I153">
        <f>data[[#This Row],[Units]]*data[[#This Row],[Cost per unit]]</f>
        <v>1842.45</v>
      </c>
      <c r="J153" s="4">
        <f>data[[#This Row],[Amount]]-data[[#This Row],[Cost]]</f>
        <v>1909.55</v>
      </c>
    </row>
    <row r="154" spans="3:10" x14ac:dyDescent="0.3">
      <c r="C154" t="s">
        <v>3</v>
      </c>
      <c r="D154" t="s">
        <v>34</v>
      </c>
      <c r="E154" t="s">
        <v>28</v>
      </c>
      <c r="F154" s="4">
        <v>3689</v>
      </c>
      <c r="G154" s="5">
        <v>312</v>
      </c>
      <c r="H154">
        <f>_xlfn.XLOOKUP(data[[#This Row],[Product]],products[Product],products[Cost per unit])</f>
        <v>10.38</v>
      </c>
      <c r="I154">
        <f>data[[#This Row],[Units]]*data[[#This Row],[Cost per unit]]</f>
        <v>3238.5600000000004</v>
      </c>
      <c r="J154" s="4">
        <f>data[[#This Row],[Amount]]-data[[#This Row],[Cost]]</f>
        <v>450.4399999999996</v>
      </c>
    </row>
    <row r="155" spans="3:10" x14ac:dyDescent="0.3">
      <c r="C155" t="s">
        <v>3</v>
      </c>
      <c r="D155" t="s">
        <v>39</v>
      </c>
      <c r="E155" t="s">
        <v>29</v>
      </c>
      <c r="F155" s="4">
        <v>3640</v>
      </c>
      <c r="G155" s="5">
        <v>51</v>
      </c>
      <c r="H155">
        <f>_xlfn.XLOOKUP(data[[#This Row],[Product]],products[Product],products[Cost per unit])</f>
        <v>7.16</v>
      </c>
      <c r="I155">
        <f>data[[#This Row],[Units]]*data[[#This Row],[Cost per unit]]</f>
        <v>365.16</v>
      </c>
      <c r="J155" s="4">
        <f>data[[#This Row],[Amount]]-data[[#This Row],[Cost]]</f>
        <v>3274.84</v>
      </c>
    </row>
    <row r="156" spans="3:10" x14ac:dyDescent="0.3">
      <c r="C156" t="s">
        <v>8</v>
      </c>
      <c r="D156" t="s">
        <v>35</v>
      </c>
      <c r="E156" t="s">
        <v>30</v>
      </c>
      <c r="F156" s="4">
        <v>3598</v>
      </c>
      <c r="G156" s="5">
        <v>81</v>
      </c>
      <c r="H156">
        <f>_xlfn.XLOOKUP(data[[#This Row],[Product]],products[Product],products[Cost per unit])</f>
        <v>14.49</v>
      </c>
      <c r="I156">
        <f>data[[#This Row],[Units]]*data[[#This Row],[Cost per unit]]</f>
        <v>1173.69</v>
      </c>
      <c r="J156" s="4">
        <f>data[[#This Row],[Amount]]-data[[#This Row],[Cost]]</f>
        <v>2424.31</v>
      </c>
    </row>
    <row r="157" spans="3:10" x14ac:dyDescent="0.3">
      <c r="C157" t="s">
        <v>6</v>
      </c>
      <c r="D157" t="s">
        <v>37</v>
      </c>
      <c r="E157" t="s">
        <v>28</v>
      </c>
      <c r="F157" s="4">
        <v>3556</v>
      </c>
      <c r="G157" s="5">
        <v>459</v>
      </c>
      <c r="H157">
        <f>_xlfn.XLOOKUP(data[[#This Row],[Product]],products[Product],products[Cost per unit])</f>
        <v>10.38</v>
      </c>
      <c r="I157">
        <f>data[[#This Row],[Units]]*data[[#This Row],[Cost per unit]]</f>
        <v>4764.42</v>
      </c>
      <c r="J157" s="4">
        <f>data[[#This Row],[Amount]]-data[[#This Row],[Cost]]</f>
        <v>-1208.42</v>
      </c>
    </row>
    <row r="158" spans="3:10" x14ac:dyDescent="0.3">
      <c r="C158" t="s">
        <v>2</v>
      </c>
      <c r="D158" t="s">
        <v>38</v>
      </c>
      <c r="E158" t="s">
        <v>4</v>
      </c>
      <c r="F158" s="4">
        <v>3549</v>
      </c>
      <c r="G158" s="5">
        <v>3</v>
      </c>
      <c r="H158">
        <f>_xlfn.XLOOKUP(data[[#This Row],[Product]],products[Product],products[Cost per unit])</f>
        <v>11.88</v>
      </c>
      <c r="I158">
        <f>data[[#This Row],[Units]]*data[[#This Row],[Cost per unit]]</f>
        <v>35.64</v>
      </c>
      <c r="J158" s="4">
        <f>data[[#This Row],[Amount]]-data[[#This Row],[Cost]]</f>
        <v>3513.36</v>
      </c>
    </row>
    <row r="159" spans="3:10" x14ac:dyDescent="0.3">
      <c r="C159" t="s">
        <v>8</v>
      </c>
      <c r="D159" t="s">
        <v>34</v>
      </c>
      <c r="E159" t="s">
        <v>31</v>
      </c>
      <c r="F159" s="4">
        <v>3507</v>
      </c>
      <c r="G159" s="5">
        <v>288</v>
      </c>
      <c r="H159">
        <f>_xlfn.XLOOKUP(data[[#This Row],[Product]],products[Product],products[Cost per unit])</f>
        <v>5.79</v>
      </c>
      <c r="I159">
        <f>data[[#This Row],[Units]]*data[[#This Row],[Cost per unit]]</f>
        <v>1667.52</v>
      </c>
      <c r="J159" s="4">
        <f>data[[#This Row],[Amount]]-data[[#This Row],[Cost]]</f>
        <v>1839.48</v>
      </c>
    </row>
    <row r="160" spans="3:10" x14ac:dyDescent="0.3">
      <c r="C160" t="s">
        <v>10</v>
      </c>
      <c r="D160" t="s">
        <v>35</v>
      </c>
      <c r="E160" t="s">
        <v>14</v>
      </c>
      <c r="F160" s="4">
        <v>3472</v>
      </c>
      <c r="G160" s="5">
        <v>96</v>
      </c>
      <c r="H160">
        <f>_xlfn.XLOOKUP(data[[#This Row],[Product]],products[Product],products[Cost per unit])</f>
        <v>11.7</v>
      </c>
      <c r="I160">
        <f>data[[#This Row],[Units]]*data[[#This Row],[Cost per unit]]</f>
        <v>1123.1999999999998</v>
      </c>
      <c r="J160" s="4">
        <f>data[[#This Row],[Amount]]-data[[#This Row],[Cost]]</f>
        <v>2348.8000000000002</v>
      </c>
    </row>
    <row r="161" spans="3:10" x14ac:dyDescent="0.3">
      <c r="C161" t="s">
        <v>6</v>
      </c>
      <c r="D161" t="s">
        <v>34</v>
      </c>
      <c r="E161" t="s">
        <v>30</v>
      </c>
      <c r="F161" s="4">
        <v>3402</v>
      </c>
      <c r="G161" s="5">
        <v>366</v>
      </c>
      <c r="H161">
        <f>_xlfn.XLOOKUP(data[[#This Row],[Product]],products[Product],products[Cost per unit])</f>
        <v>14.49</v>
      </c>
      <c r="I161">
        <f>data[[#This Row],[Units]]*data[[#This Row],[Cost per unit]]</f>
        <v>5303.34</v>
      </c>
      <c r="J161" s="4">
        <f>data[[#This Row],[Amount]]-data[[#This Row],[Cost]]</f>
        <v>-1901.3400000000001</v>
      </c>
    </row>
    <row r="162" spans="3:10" x14ac:dyDescent="0.3">
      <c r="C162" t="s">
        <v>41</v>
      </c>
      <c r="D162" t="s">
        <v>37</v>
      </c>
      <c r="E162" t="s">
        <v>20</v>
      </c>
      <c r="F162" s="4">
        <v>3388</v>
      </c>
      <c r="G162" s="5">
        <v>123</v>
      </c>
      <c r="H162">
        <f>_xlfn.XLOOKUP(data[[#This Row],[Product]],products[Product],products[Cost per unit])</f>
        <v>10.62</v>
      </c>
      <c r="I162">
        <f>data[[#This Row],[Units]]*data[[#This Row],[Cost per unit]]</f>
        <v>1306.26</v>
      </c>
      <c r="J162" s="4">
        <f>data[[#This Row],[Amount]]-data[[#This Row],[Cost]]</f>
        <v>2081.7399999999998</v>
      </c>
    </row>
    <row r="163" spans="3:10" x14ac:dyDescent="0.3">
      <c r="C163" t="s">
        <v>6</v>
      </c>
      <c r="D163" t="s">
        <v>34</v>
      </c>
      <c r="E163" t="s">
        <v>29</v>
      </c>
      <c r="F163" s="4">
        <v>3339</v>
      </c>
      <c r="G163" s="5">
        <v>75</v>
      </c>
      <c r="H163">
        <f>_xlfn.XLOOKUP(data[[#This Row],[Product]],products[Product],products[Cost per unit])</f>
        <v>7.16</v>
      </c>
      <c r="I163">
        <f>data[[#This Row],[Units]]*data[[#This Row],[Cost per unit]]</f>
        <v>537</v>
      </c>
      <c r="J163" s="4">
        <f>data[[#This Row],[Amount]]-data[[#This Row],[Cost]]</f>
        <v>2802</v>
      </c>
    </row>
    <row r="164" spans="3:10" x14ac:dyDescent="0.3">
      <c r="C164" t="s">
        <v>3</v>
      </c>
      <c r="D164" t="s">
        <v>36</v>
      </c>
      <c r="E164" t="s">
        <v>25</v>
      </c>
      <c r="F164" s="4">
        <v>3339</v>
      </c>
      <c r="G164" s="5">
        <v>39</v>
      </c>
      <c r="H164">
        <f>_xlfn.XLOOKUP(data[[#This Row],[Product]],products[Product],products[Cost per unit])</f>
        <v>13.15</v>
      </c>
      <c r="I164">
        <f>data[[#This Row],[Units]]*data[[#This Row],[Cost per unit]]</f>
        <v>512.85</v>
      </c>
      <c r="J164" s="4">
        <f>data[[#This Row],[Amount]]-data[[#This Row],[Cost]]</f>
        <v>2826.15</v>
      </c>
    </row>
    <row r="165" spans="3:10" x14ac:dyDescent="0.3">
      <c r="C165" t="s">
        <v>5</v>
      </c>
      <c r="D165" t="s">
        <v>36</v>
      </c>
      <c r="E165" t="s">
        <v>17</v>
      </c>
      <c r="F165" s="4">
        <v>3339</v>
      </c>
      <c r="G165" s="5">
        <v>348</v>
      </c>
      <c r="H165">
        <f>_xlfn.XLOOKUP(data[[#This Row],[Product]],products[Product],products[Cost per unit])</f>
        <v>3.11</v>
      </c>
      <c r="I165">
        <f>data[[#This Row],[Units]]*data[[#This Row],[Cost per unit]]</f>
        <v>1082.28</v>
      </c>
      <c r="J165" s="4">
        <f>data[[#This Row],[Amount]]-data[[#This Row],[Cost]]</f>
        <v>2256.7200000000003</v>
      </c>
    </row>
    <row r="166" spans="3:10" x14ac:dyDescent="0.3">
      <c r="C166" t="s">
        <v>7</v>
      </c>
      <c r="D166" t="s">
        <v>34</v>
      </c>
      <c r="E166" t="s">
        <v>32</v>
      </c>
      <c r="F166" s="4">
        <v>3262</v>
      </c>
      <c r="G166" s="5">
        <v>75</v>
      </c>
      <c r="H166">
        <f>_xlfn.XLOOKUP(data[[#This Row],[Product]],products[Product],products[Cost per unit])</f>
        <v>8.65</v>
      </c>
      <c r="I166">
        <f>data[[#This Row],[Units]]*data[[#This Row],[Cost per unit]]</f>
        <v>648.75</v>
      </c>
      <c r="J166" s="4">
        <f>data[[#This Row],[Amount]]-data[[#This Row],[Cost]]</f>
        <v>2613.25</v>
      </c>
    </row>
    <row r="167" spans="3:10" x14ac:dyDescent="0.3">
      <c r="C167" t="s">
        <v>9</v>
      </c>
      <c r="D167" t="s">
        <v>39</v>
      </c>
      <c r="E167" t="s">
        <v>25</v>
      </c>
      <c r="F167" s="4">
        <v>3192</v>
      </c>
      <c r="G167" s="5">
        <v>72</v>
      </c>
      <c r="H167">
        <f>_xlfn.XLOOKUP(data[[#This Row],[Product]],products[Product],products[Cost per unit])</f>
        <v>13.15</v>
      </c>
      <c r="I167">
        <f>data[[#This Row],[Units]]*data[[#This Row],[Cost per unit]]</f>
        <v>946.80000000000007</v>
      </c>
      <c r="J167" s="4">
        <f>data[[#This Row],[Amount]]-data[[#This Row],[Cost]]</f>
        <v>2245.1999999999998</v>
      </c>
    </row>
    <row r="168" spans="3:10" x14ac:dyDescent="0.3">
      <c r="C168" t="s">
        <v>40</v>
      </c>
      <c r="D168" t="s">
        <v>36</v>
      </c>
      <c r="E168" t="s">
        <v>27</v>
      </c>
      <c r="F168" s="4">
        <v>3164</v>
      </c>
      <c r="G168" s="5">
        <v>306</v>
      </c>
      <c r="H168">
        <f>_xlfn.XLOOKUP(data[[#This Row],[Product]],products[Product],products[Cost per unit])</f>
        <v>16.73</v>
      </c>
      <c r="I168">
        <f>data[[#This Row],[Units]]*data[[#This Row],[Cost per unit]]</f>
        <v>5119.38</v>
      </c>
      <c r="J168" s="4">
        <f>data[[#This Row],[Amount]]-data[[#This Row],[Cost]]</f>
        <v>-1955.38</v>
      </c>
    </row>
    <row r="169" spans="3:10" x14ac:dyDescent="0.3">
      <c r="C169" t="s">
        <v>3</v>
      </c>
      <c r="D169" t="s">
        <v>34</v>
      </c>
      <c r="E169" t="s">
        <v>26</v>
      </c>
      <c r="F169" s="4">
        <v>3108</v>
      </c>
      <c r="G169" s="5">
        <v>54</v>
      </c>
      <c r="H169">
        <f>_xlfn.XLOOKUP(data[[#This Row],[Product]],products[Product],products[Cost per unit])</f>
        <v>5.6</v>
      </c>
      <c r="I169">
        <f>data[[#This Row],[Units]]*data[[#This Row],[Cost per unit]]</f>
        <v>302.39999999999998</v>
      </c>
      <c r="J169" s="4">
        <f>data[[#This Row],[Amount]]-data[[#This Row],[Cost]]</f>
        <v>2805.6</v>
      </c>
    </row>
    <row r="170" spans="3:10" x14ac:dyDescent="0.3">
      <c r="C170" t="s">
        <v>40</v>
      </c>
      <c r="D170" t="s">
        <v>39</v>
      </c>
      <c r="E170" t="s">
        <v>28</v>
      </c>
      <c r="F170" s="4">
        <v>3101</v>
      </c>
      <c r="G170" s="5">
        <v>225</v>
      </c>
      <c r="H170">
        <f>_xlfn.XLOOKUP(data[[#This Row],[Product]],products[Product],products[Cost per unit])</f>
        <v>10.38</v>
      </c>
      <c r="I170">
        <f>data[[#This Row],[Units]]*data[[#This Row],[Cost per unit]]</f>
        <v>2335.5</v>
      </c>
      <c r="J170" s="4">
        <f>data[[#This Row],[Amount]]-data[[#This Row],[Cost]]</f>
        <v>765.5</v>
      </c>
    </row>
    <row r="171" spans="3:10" x14ac:dyDescent="0.3">
      <c r="C171" t="s">
        <v>2</v>
      </c>
      <c r="D171" t="s">
        <v>36</v>
      </c>
      <c r="E171" t="s">
        <v>31</v>
      </c>
      <c r="F171" s="4">
        <v>3094</v>
      </c>
      <c r="G171" s="5">
        <v>246</v>
      </c>
      <c r="H171">
        <f>_xlfn.XLOOKUP(data[[#This Row],[Product]],products[Product],products[Cost per unit])</f>
        <v>5.79</v>
      </c>
      <c r="I171">
        <f>data[[#This Row],[Units]]*data[[#This Row],[Cost per unit]]</f>
        <v>1424.34</v>
      </c>
      <c r="J171" s="4">
        <f>data[[#This Row],[Amount]]-data[[#This Row],[Cost]]</f>
        <v>1669.66</v>
      </c>
    </row>
    <row r="172" spans="3:10" x14ac:dyDescent="0.3">
      <c r="C172" t="s">
        <v>10</v>
      </c>
      <c r="D172" t="s">
        <v>37</v>
      </c>
      <c r="E172" t="s">
        <v>28</v>
      </c>
      <c r="F172" s="4">
        <v>3059</v>
      </c>
      <c r="G172" s="5">
        <v>27</v>
      </c>
      <c r="H172">
        <f>_xlfn.XLOOKUP(data[[#This Row],[Product]],products[Product],products[Cost per unit])</f>
        <v>10.38</v>
      </c>
      <c r="I172">
        <f>data[[#This Row],[Units]]*data[[#This Row],[Cost per unit]]</f>
        <v>280.26000000000005</v>
      </c>
      <c r="J172" s="4">
        <f>data[[#This Row],[Amount]]-data[[#This Row],[Cost]]</f>
        <v>2778.74</v>
      </c>
    </row>
    <row r="173" spans="3:10" x14ac:dyDescent="0.3">
      <c r="C173" t="s">
        <v>6</v>
      </c>
      <c r="D173" t="s">
        <v>39</v>
      </c>
      <c r="E173" t="s">
        <v>29</v>
      </c>
      <c r="F173" s="4">
        <v>3052</v>
      </c>
      <c r="G173" s="5">
        <v>378</v>
      </c>
      <c r="H173">
        <f>_xlfn.XLOOKUP(data[[#This Row],[Product]],products[Product],products[Cost per unit])</f>
        <v>7.16</v>
      </c>
      <c r="I173">
        <f>data[[#This Row],[Units]]*data[[#This Row],[Cost per unit]]</f>
        <v>2706.48</v>
      </c>
      <c r="J173" s="4">
        <f>data[[#This Row],[Amount]]-data[[#This Row],[Cost]]</f>
        <v>345.52</v>
      </c>
    </row>
    <row r="174" spans="3:10" x14ac:dyDescent="0.3">
      <c r="C174" t="s">
        <v>6</v>
      </c>
      <c r="D174" t="s">
        <v>39</v>
      </c>
      <c r="E174" t="s">
        <v>24</v>
      </c>
      <c r="F174" s="4">
        <v>2989</v>
      </c>
      <c r="G174" s="5">
        <v>3</v>
      </c>
      <c r="H174">
        <f>_xlfn.XLOOKUP(data[[#This Row],[Product]],products[Product],products[Cost per unit])</f>
        <v>4.97</v>
      </c>
      <c r="I174">
        <f>data[[#This Row],[Units]]*data[[#This Row],[Cost per unit]]</f>
        <v>14.91</v>
      </c>
      <c r="J174" s="4">
        <f>data[[#This Row],[Amount]]-data[[#This Row],[Cost]]</f>
        <v>2974.09</v>
      </c>
    </row>
    <row r="175" spans="3:10" x14ac:dyDescent="0.3">
      <c r="C175" t="s">
        <v>9</v>
      </c>
      <c r="D175" t="s">
        <v>36</v>
      </c>
      <c r="E175" t="s">
        <v>32</v>
      </c>
      <c r="F175" s="4">
        <v>2954</v>
      </c>
      <c r="G175" s="5">
        <v>189</v>
      </c>
      <c r="H175">
        <f>_xlfn.XLOOKUP(data[[#This Row],[Product]],products[Product],products[Cost per unit])</f>
        <v>8.65</v>
      </c>
      <c r="I175">
        <f>data[[#This Row],[Units]]*data[[#This Row],[Cost per unit]]</f>
        <v>1634.8500000000001</v>
      </c>
      <c r="J175" s="4">
        <f>data[[#This Row],[Amount]]-data[[#This Row],[Cost]]</f>
        <v>1319.1499999999999</v>
      </c>
    </row>
    <row r="176" spans="3:10" x14ac:dyDescent="0.3">
      <c r="C176" t="s">
        <v>41</v>
      </c>
      <c r="D176" t="s">
        <v>37</v>
      </c>
      <c r="E176" t="s">
        <v>21</v>
      </c>
      <c r="F176" s="4">
        <v>2933</v>
      </c>
      <c r="G176" s="5">
        <v>9</v>
      </c>
      <c r="H176">
        <f>_xlfn.XLOOKUP(data[[#This Row],[Product]],products[Product],products[Cost per unit])</f>
        <v>9</v>
      </c>
      <c r="I176">
        <f>data[[#This Row],[Units]]*data[[#This Row],[Cost per unit]]</f>
        <v>81</v>
      </c>
      <c r="J176" s="4">
        <f>data[[#This Row],[Amount]]-data[[#This Row],[Cost]]</f>
        <v>2852</v>
      </c>
    </row>
    <row r="177" spans="3:10" x14ac:dyDescent="0.3">
      <c r="C177" t="s">
        <v>9</v>
      </c>
      <c r="D177" t="s">
        <v>37</v>
      </c>
      <c r="E177" t="s">
        <v>28</v>
      </c>
      <c r="F177" s="4">
        <v>2919</v>
      </c>
      <c r="G177" s="5">
        <v>45</v>
      </c>
      <c r="H177">
        <f>_xlfn.XLOOKUP(data[[#This Row],[Product]],products[Product],products[Cost per unit])</f>
        <v>10.38</v>
      </c>
      <c r="I177">
        <f>data[[#This Row],[Units]]*data[[#This Row],[Cost per unit]]</f>
        <v>467.1</v>
      </c>
      <c r="J177" s="4">
        <f>data[[#This Row],[Amount]]-data[[#This Row],[Cost]]</f>
        <v>2451.9</v>
      </c>
    </row>
    <row r="178" spans="3:10" x14ac:dyDescent="0.3">
      <c r="C178" t="s">
        <v>3</v>
      </c>
      <c r="D178" t="s">
        <v>34</v>
      </c>
      <c r="E178" t="s">
        <v>17</v>
      </c>
      <c r="F178" s="4">
        <v>2919</v>
      </c>
      <c r="G178" s="5">
        <v>93</v>
      </c>
      <c r="H178">
        <f>_xlfn.XLOOKUP(data[[#This Row],[Product]],products[Product],products[Cost per unit])</f>
        <v>3.11</v>
      </c>
      <c r="I178">
        <f>data[[#This Row],[Units]]*data[[#This Row],[Cost per unit]]</f>
        <v>289.22999999999996</v>
      </c>
      <c r="J178" s="4">
        <f>data[[#This Row],[Amount]]-data[[#This Row],[Cost]]</f>
        <v>2629.77</v>
      </c>
    </row>
    <row r="179" spans="3:10" x14ac:dyDescent="0.3">
      <c r="C179" t="s">
        <v>5</v>
      </c>
      <c r="D179" t="s">
        <v>34</v>
      </c>
      <c r="E179" t="s">
        <v>29</v>
      </c>
      <c r="F179" s="4">
        <v>2891</v>
      </c>
      <c r="G179" s="5">
        <v>102</v>
      </c>
      <c r="H179">
        <f>_xlfn.XLOOKUP(data[[#This Row],[Product]],products[Product],products[Cost per unit])</f>
        <v>7.16</v>
      </c>
      <c r="I179">
        <f>data[[#This Row],[Units]]*data[[#This Row],[Cost per unit]]</f>
        <v>730.32</v>
      </c>
      <c r="J179" s="4">
        <f>data[[#This Row],[Amount]]-data[[#This Row],[Cost]]</f>
        <v>2160.6799999999998</v>
      </c>
    </row>
    <row r="180" spans="3:10" x14ac:dyDescent="0.3">
      <c r="C180" t="s">
        <v>7</v>
      </c>
      <c r="D180" t="s">
        <v>36</v>
      </c>
      <c r="E180" t="s">
        <v>19</v>
      </c>
      <c r="F180" s="4">
        <v>2870</v>
      </c>
      <c r="G180" s="5">
        <v>300</v>
      </c>
      <c r="H180">
        <f>_xlfn.XLOOKUP(data[[#This Row],[Product]],products[Product],products[Cost per unit])</f>
        <v>7.64</v>
      </c>
      <c r="I180">
        <f>data[[#This Row],[Units]]*data[[#This Row],[Cost per unit]]</f>
        <v>2292</v>
      </c>
      <c r="J180" s="4">
        <f>data[[#This Row],[Amount]]-data[[#This Row],[Cost]]</f>
        <v>578</v>
      </c>
    </row>
    <row r="181" spans="3:10" x14ac:dyDescent="0.3">
      <c r="C181" t="s">
        <v>2</v>
      </c>
      <c r="D181" t="s">
        <v>37</v>
      </c>
      <c r="E181" t="s">
        <v>15</v>
      </c>
      <c r="F181" s="4">
        <v>2863</v>
      </c>
      <c r="G181" s="5">
        <v>42</v>
      </c>
      <c r="H181">
        <f>_xlfn.XLOOKUP(data[[#This Row],[Product]],products[Product],products[Cost per unit])</f>
        <v>11.73</v>
      </c>
      <c r="I181">
        <f>data[[#This Row],[Units]]*data[[#This Row],[Cost per unit]]</f>
        <v>492.66</v>
      </c>
      <c r="J181" s="4">
        <f>data[[#This Row],[Amount]]-data[[#This Row],[Cost]]</f>
        <v>2370.34</v>
      </c>
    </row>
    <row r="182" spans="3:10" x14ac:dyDescent="0.3">
      <c r="C182" t="s">
        <v>9</v>
      </c>
      <c r="D182" t="s">
        <v>37</v>
      </c>
      <c r="E182" t="s">
        <v>26</v>
      </c>
      <c r="F182" s="4">
        <v>2856</v>
      </c>
      <c r="G182" s="5">
        <v>246</v>
      </c>
      <c r="H182">
        <f>_xlfn.XLOOKUP(data[[#This Row],[Product]],products[Product],products[Cost per unit])</f>
        <v>5.6</v>
      </c>
      <c r="I182">
        <f>data[[#This Row],[Units]]*data[[#This Row],[Cost per unit]]</f>
        <v>1377.6</v>
      </c>
      <c r="J182" s="4">
        <f>data[[#This Row],[Amount]]-data[[#This Row],[Cost]]</f>
        <v>1478.4</v>
      </c>
    </row>
    <row r="183" spans="3:10" x14ac:dyDescent="0.3">
      <c r="C183" t="s">
        <v>7</v>
      </c>
      <c r="D183" t="s">
        <v>35</v>
      </c>
      <c r="E183" t="s">
        <v>24</v>
      </c>
      <c r="F183" s="4">
        <v>2793</v>
      </c>
      <c r="G183" s="5">
        <v>114</v>
      </c>
      <c r="H183">
        <f>_xlfn.XLOOKUP(data[[#This Row],[Product]],products[Product],products[Cost per unit])</f>
        <v>4.97</v>
      </c>
      <c r="I183">
        <f>data[[#This Row],[Units]]*data[[#This Row],[Cost per unit]]</f>
        <v>566.57999999999993</v>
      </c>
      <c r="J183" s="4">
        <f>data[[#This Row],[Amount]]-data[[#This Row],[Cost]]</f>
        <v>2226.42</v>
      </c>
    </row>
    <row r="184" spans="3:10" x14ac:dyDescent="0.3">
      <c r="C184" t="s">
        <v>40</v>
      </c>
      <c r="D184" t="s">
        <v>34</v>
      </c>
      <c r="E184" t="s">
        <v>23</v>
      </c>
      <c r="F184" s="4">
        <v>2779</v>
      </c>
      <c r="G184" s="5">
        <v>75</v>
      </c>
      <c r="H184">
        <f>_xlfn.XLOOKUP(data[[#This Row],[Product]],products[Product],products[Cost per unit])</f>
        <v>6.49</v>
      </c>
      <c r="I184">
        <f>data[[#This Row],[Units]]*data[[#This Row],[Cost per unit]]</f>
        <v>486.75</v>
      </c>
      <c r="J184" s="4">
        <f>data[[#This Row],[Amount]]-data[[#This Row],[Cost]]</f>
        <v>2292.25</v>
      </c>
    </row>
    <row r="185" spans="3:10" x14ac:dyDescent="0.3">
      <c r="C185" t="s">
        <v>5</v>
      </c>
      <c r="D185" t="s">
        <v>35</v>
      </c>
      <c r="E185" t="s">
        <v>4</v>
      </c>
      <c r="F185" s="4">
        <v>2744</v>
      </c>
      <c r="G185" s="5">
        <v>9</v>
      </c>
      <c r="H185">
        <f>_xlfn.XLOOKUP(data[[#This Row],[Product]],products[Product],products[Cost per unit])</f>
        <v>11.88</v>
      </c>
      <c r="I185">
        <f>data[[#This Row],[Units]]*data[[#This Row],[Cost per unit]]</f>
        <v>106.92</v>
      </c>
      <c r="J185" s="4">
        <f>data[[#This Row],[Amount]]-data[[#This Row],[Cost]]</f>
        <v>2637.08</v>
      </c>
    </row>
    <row r="186" spans="3:10" x14ac:dyDescent="0.3">
      <c r="C186" t="s">
        <v>9</v>
      </c>
      <c r="D186" t="s">
        <v>37</v>
      </c>
      <c r="E186" t="s">
        <v>23</v>
      </c>
      <c r="F186" s="4">
        <v>2737</v>
      </c>
      <c r="G186" s="5">
        <v>93</v>
      </c>
      <c r="H186">
        <f>_xlfn.XLOOKUP(data[[#This Row],[Product]],products[Product],products[Cost per unit])</f>
        <v>6.49</v>
      </c>
      <c r="I186">
        <f>data[[#This Row],[Units]]*data[[#This Row],[Cost per unit]]</f>
        <v>603.57000000000005</v>
      </c>
      <c r="J186" s="4">
        <f>data[[#This Row],[Amount]]-data[[#This Row],[Cost]]</f>
        <v>2133.4299999999998</v>
      </c>
    </row>
    <row r="187" spans="3:10" x14ac:dyDescent="0.3">
      <c r="C187" t="s">
        <v>8</v>
      </c>
      <c r="D187" t="s">
        <v>35</v>
      </c>
      <c r="E187" t="s">
        <v>20</v>
      </c>
      <c r="F187" s="4">
        <v>2702</v>
      </c>
      <c r="G187" s="5">
        <v>363</v>
      </c>
      <c r="H187">
        <f>_xlfn.XLOOKUP(data[[#This Row],[Product]],products[Product],products[Cost per unit])</f>
        <v>10.62</v>
      </c>
      <c r="I187">
        <f>data[[#This Row],[Units]]*data[[#This Row],[Cost per unit]]</f>
        <v>3855.0599999999995</v>
      </c>
      <c r="J187" s="4">
        <f>data[[#This Row],[Amount]]-data[[#This Row],[Cost]]</f>
        <v>-1153.0599999999995</v>
      </c>
    </row>
    <row r="188" spans="3:10" x14ac:dyDescent="0.3">
      <c r="C188" t="s">
        <v>6</v>
      </c>
      <c r="D188" t="s">
        <v>38</v>
      </c>
      <c r="E188" t="s">
        <v>31</v>
      </c>
      <c r="F188" s="4">
        <v>2681</v>
      </c>
      <c r="G188" s="5">
        <v>54</v>
      </c>
      <c r="H188">
        <f>_xlfn.XLOOKUP(data[[#This Row],[Product]],products[Product],products[Cost per unit])</f>
        <v>5.79</v>
      </c>
      <c r="I188">
        <f>data[[#This Row],[Units]]*data[[#This Row],[Cost per unit]]</f>
        <v>312.66000000000003</v>
      </c>
      <c r="J188" s="4">
        <f>data[[#This Row],[Amount]]-data[[#This Row],[Cost]]</f>
        <v>2368.34</v>
      </c>
    </row>
    <row r="189" spans="3:10" x14ac:dyDescent="0.3">
      <c r="C189" t="s">
        <v>9</v>
      </c>
      <c r="D189" t="s">
        <v>38</v>
      </c>
      <c r="E189" t="s">
        <v>16</v>
      </c>
      <c r="F189" s="4">
        <v>2646</v>
      </c>
      <c r="G189" s="5">
        <v>120</v>
      </c>
      <c r="H189">
        <f>_xlfn.XLOOKUP(data[[#This Row],[Product]],products[Product],products[Cost per unit])</f>
        <v>8.7899999999999991</v>
      </c>
      <c r="I189">
        <f>data[[#This Row],[Units]]*data[[#This Row],[Cost per unit]]</f>
        <v>1054.8</v>
      </c>
      <c r="J189" s="4">
        <f>data[[#This Row],[Amount]]-data[[#This Row],[Cost]]</f>
        <v>1591.2</v>
      </c>
    </row>
    <row r="190" spans="3:10" x14ac:dyDescent="0.3">
      <c r="C190" t="s">
        <v>7</v>
      </c>
      <c r="D190" t="s">
        <v>36</v>
      </c>
      <c r="E190" t="s">
        <v>18</v>
      </c>
      <c r="F190" s="4">
        <v>2646</v>
      </c>
      <c r="G190" s="5">
        <v>177</v>
      </c>
      <c r="H190">
        <f>_xlfn.XLOOKUP(data[[#This Row],[Product]],products[Product],products[Cost per unit])</f>
        <v>6.47</v>
      </c>
      <c r="I190">
        <f>data[[#This Row],[Units]]*data[[#This Row],[Cost per unit]]</f>
        <v>1145.19</v>
      </c>
      <c r="J190" s="4">
        <f>data[[#This Row],[Amount]]-data[[#This Row],[Cost]]</f>
        <v>1500.81</v>
      </c>
    </row>
    <row r="191" spans="3:10" x14ac:dyDescent="0.3">
      <c r="C191" t="s">
        <v>9</v>
      </c>
      <c r="D191" t="s">
        <v>39</v>
      </c>
      <c r="E191" t="s">
        <v>18</v>
      </c>
      <c r="F191" s="4">
        <v>2639</v>
      </c>
      <c r="G191" s="5">
        <v>204</v>
      </c>
      <c r="H191">
        <f>_xlfn.XLOOKUP(data[[#This Row],[Product]],products[Product],products[Cost per unit])</f>
        <v>6.47</v>
      </c>
      <c r="I191">
        <f>data[[#This Row],[Units]]*data[[#This Row],[Cost per unit]]</f>
        <v>1319.8799999999999</v>
      </c>
      <c r="J191" s="4">
        <f>data[[#This Row],[Amount]]-data[[#This Row],[Cost]]</f>
        <v>1319.1200000000001</v>
      </c>
    </row>
    <row r="192" spans="3:10" x14ac:dyDescent="0.3">
      <c r="C192" t="s">
        <v>3</v>
      </c>
      <c r="D192" t="s">
        <v>34</v>
      </c>
      <c r="E192" t="s">
        <v>20</v>
      </c>
      <c r="F192" s="4">
        <v>2583</v>
      </c>
      <c r="G192" s="5">
        <v>18</v>
      </c>
      <c r="H192">
        <f>_xlfn.XLOOKUP(data[[#This Row],[Product]],products[Product],products[Cost per unit])</f>
        <v>10.62</v>
      </c>
      <c r="I192">
        <f>data[[#This Row],[Units]]*data[[#This Row],[Cost per unit]]</f>
        <v>191.16</v>
      </c>
      <c r="J192" s="4">
        <f>data[[#This Row],[Amount]]-data[[#This Row],[Cost]]</f>
        <v>2391.84</v>
      </c>
    </row>
    <row r="193" spans="3:10" x14ac:dyDescent="0.3">
      <c r="C193" t="s">
        <v>10</v>
      </c>
      <c r="D193" t="s">
        <v>35</v>
      </c>
      <c r="E193" t="s">
        <v>15</v>
      </c>
      <c r="F193" s="4">
        <v>2562</v>
      </c>
      <c r="G193" s="5">
        <v>6</v>
      </c>
      <c r="H193">
        <f>_xlfn.XLOOKUP(data[[#This Row],[Product]],products[Product],products[Cost per unit])</f>
        <v>11.73</v>
      </c>
      <c r="I193">
        <f>data[[#This Row],[Units]]*data[[#This Row],[Cost per unit]]</f>
        <v>70.38</v>
      </c>
      <c r="J193" s="4">
        <f>data[[#This Row],[Amount]]-data[[#This Row],[Cost]]</f>
        <v>2491.62</v>
      </c>
    </row>
    <row r="194" spans="3:10" x14ac:dyDescent="0.3">
      <c r="C194" t="s">
        <v>40</v>
      </c>
      <c r="D194" t="s">
        <v>38</v>
      </c>
      <c r="E194" t="s">
        <v>25</v>
      </c>
      <c r="F194" s="4">
        <v>2541</v>
      </c>
      <c r="G194" s="5">
        <v>90</v>
      </c>
      <c r="H194">
        <f>_xlfn.XLOOKUP(data[[#This Row],[Product]],products[Product],products[Cost per unit])</f>
        <v>13.15</v>
      </c>
      <c r="I194">
        <f>data[[#This Row],[Units]]*data[[#This Row],[Cost per unit]]</f>
        <v>1183.5</v>
      </c>
      <c r="J194" s="4">
        <f>data[[#This Row],[Amount]]-data[[#This Row],[Cost]]</f>
        <v>1357.5</v>
      </c>
    </row>
    <row r="195" spans="3:10" x14ac:dyDescent="0.3">
      <c r="C195" t="s">
        <v>40</v>
      </c>
      <c r="D195" t="s">
        <v>38</v>
      </c>
      <c r="E195" t="s">
        <v>29</v>
      </c>
      <c r="F195" s="4">
        <v>2541</v>
      </c>
      <c r="G195" s="5">
        <v>45</v>
      </c>
      <c r="H195">
        <f>_xlfn.XLOOKUP(data[[#This Row],[Product]],products[Product],products[Cost per unit])</f>
        <v>7.16</v>
      </c>
      <c r="I195">
        <f>data[[#This Row],[Units]]*data[[#This Row],[Cost per unit]]</f>
        <v>322.2</v>
      </c>
      <c r="J195" s="4">
        <f>data[[#This Row],[Amount]]-data[[#This Row],[Cost]]</f>
        <v>2218.8000000000002</v>
      </c>
    </row>
    <row r="196" spans="3:10" x14ac:dyDescent="0.3">
      <c r="C196" t="s">
        <v>7</v>
      </c>
      <c r="D196" t="s">
        <v>35</v>
      </c>
      <c r="E196" t="s">
        <v>27</v>
      </c>
      <c r="F196" s="4">
        <v>2478</v>
      </c>
      <c r="G196" s="5">
        <v>21</v>
      </c>
      <c r="H196">
        <f>_xlfn.XLOOKUP(data[[#This Row],[Product]],products[Product],products[Cost per unit])</f>
        <v>16.73</v>
      </c>
      <c r="I196">
        <f>data[[#This Row],[Units]]*data[[#This Row],[Cost per unit]]</f>
        <v>351.33</v>
      </c>
      <c r="J196" s="4">
        <f>data[[#This Row],[Amount]]-data[[#This Row],[Cost]]</f>
        <v>2126.67</v>
      </c>
    </row>
    <row r="197" spans="3:10" x14ac:dyDescent="0.3">
      <c r="C197" t="s">
        <v>10</v>
      </c>
      <c r="D197" t="s">
        <v>36</v>
      </c>
      <c r="E197" t="s">
        <v>29</v>
      </c>
      <c r="F197" s="4">
        <v>2471</v>
      </c>
      <c r="G197" s="5">
        <v>342</v>
      </c>
      <c r="H197">
        <f>_xlfn.XLOOKUP(data[[#This Row],[Product]],products[Product],products[Cost per unit])</f>
        <v>7.16</v>
      </c>
      <c r="I197">
        <f>data[[#This Row],[Units]]*data[[#This Row],[Cost per unit]]</f>
        <v>2448.7200000000003</v>
      </c>
      <c r="J197" s="4">
        <f>data[[#This Row],[Amount]]-data[[#This Row],[Cost]]</f>
        <v>22.279999999999745</v>
      </c>
    </row>
    <row r="198" spans="3:10" x14ac:dyDescent="0.3">
      <c r="C198" t="s">
        <v>3</v>
      </c>
      <c r="D198" t="s">
        <v>35</v>
      </c>
      <c r="E198" t="s">
        <v>25</v>
      </c>
      <c r="F198" s="4">
        <v>2464</v>
      </c>
      <c r="G198" s="5">
        <v>234</v>
      </c>
      <c r="H198">
        <f>_xlfn.XLOOKUP(data[[#This Row],[Product]],products[Product],products[Cost per unit])</f>
        <v>13.15</v>
      </c>
      <c r="I198">
        <f>data[[#This Row],[Units]]*data[[#This Row],[Cost per unit]]</f>
        <v>3077.1</v>
      </c>
      <c r="J198" s="4">
        <f>data[[#This Row],[Amount]]-data[[#This Row],[Cost]]</f>
        <v>-613.09999999999991</v>
      </c>
    </row>
    <row r="199" spans="3:10" x14ac:dyDescent="0.3">
      <c r="C199" t="s">
        <v>9</v>
      </c>
      <c r="D199" t="s">
        <v>38</v>
      </c>
      <c r="E199" t="s">
        <v>26</v>
      </c>
      <c r="F199" s="4">
        <v>2436</v>
      </c>
      <c r="G199" s="5">
        <v>99</v>
      </c>
      <c r="H199">
        <f>_xlfn.XLOOKUP(data[[#This Row],[Product]],products[Product],products[Cost per unit])</f>
        <v>5.6</v>
      </c>
      <c r="I199">
        <f>data[[#This Row],[Units]]*data[[#This Row],[Cost per unit]]</f>
        <v>554.4</v>
      </c>
      <c r="J199" s="4">
        <f>data[[#This Row],[Amount]]-data[[#This Row],[Cost]]</f>
        <v>1881.6</v>
      </c>
    </row>
    <row r="200" spans="3:10" x14ac:dyDescent="0.3">
      <c r="C200" t="s">
        <v>9</v>
      </c>
      <c r="D200" t="s">
        <v>35</v>
      </c>
      <c r="E200" t="s">
        <v>27</v>
      </c>
      <c r="F200" s="4">
        <v>2429</v>
      </c>
      <c r="G200" s="5">
        <v>144</v>
      </c>
      <c r="H200">
        <f>_xlfn.XLOOKUP(data[[#This Row],[Product]],products[Product],products[Cost per unit])</f>
        <v>16.73</v>
      </c>
      <c r="I200">
        <f>data[[#This Row],[Units]]*data[[#This Row],[Cost per unit]]</f>
        <v>2409.12</v>
      </c>
      <c r="J200" s="4">
        <f>data[[#This Row],[Amount]]-data[[#This Row],[Cost]]</f>
        <v>19.880000000000109</v>
      </c>
    </row>
    <row r="201" spans="3:10" x14ac:dyDescent="0.3">
      <c r="C201" t="s">
        <v>3</v>
      </c>
      <c r="D201" t="s">
        <v>35</v>
      </c>
      <c r="E201" t="s">
        <v>14</v>
      </c>
      <c r="F201" s="4">
        <v>2415</v>
      </c>
      <c r="G201" s="5">
        <v>255</v>
      </c>
      <c r="H201">
        <f>_xlfn.XLOOKUP(data[[#This Row],[Product]],products[Product],products[Cost per unit])</f>
        <v>11.7</v>
      </c>
      <c r="I201">
        <f>data[[#This Row],[Units]]*data[[#This Row],[Cost per unit]]</f>
        <v>2983.5</v>
      </c>
      <c r="J201" s="4">
        <f>data[[#This Row],[Amount]]-data[[#This Row],[Cost]]</f>
        <v>-568.5</v>
      </c>
    </row>
    <row r="202" spans="3:10" x14ac:dyDescent="0.3">
      <c r="C202" t="s">
        <v>5</v>
      </c>
      <c r="D202" t="s">
        <v>35</v>
      </c>
      <c r="E202" t="s">
        <v>18</v>
      </c>
      <c r="F202" s="4">
        <v>2415</v>
      </c>
      <c r="G202" s="5">
        <v>15</v>
      </c>
      <c r="H202">
        <f>_xlfn.XLOOKUP(data[[#This Row],[Product]],products[Product],products[Cost per unit])</f>
        <v>6.47</v>
      </c>
      <c r="I202">
        <f>data[[#This Row],[Units]]*data[[#This Row],[Cost per unit]]</f>
        <v>97.05</v>
      </c>
      <c r="J202" s="4">
        <f>data[[#This Row],[Amount]]-data[[#This Row],[Cost]]</f>
        <v>2317.9499999999998</v>
      </c>
    </row>
    <row r="203" spans="3:10" x14ac:dyDescent="0.3">
      <c r="C203" t="s">
        <v>9</v>
      </c>
      <c r="D203" t="s">
        <v>38</v>
      </c>
      <c r="E203" t="s">
        <v>17</v>
      </c>
      <c r="F203" s="4">
        <v>2408</v>
      </c>
      <c r="G203" s="5">
        <v>9</v>
      </c>
      <c r="H203">
        <f>_xlfn.XLOOKUP(data[[#This Row],[Product]],products[Product],products[Cost per unit])</f>
        <v>3.11</v>
      </c>
      <c r="I203">
        <f>data[[#This Row],[Units]]*data[[#This Row],[Cost per unit]]</f>
        <v>27.99</v>
      </c>
      <c r="J203" s="4">
        <f>data[[#This Row],[Amount]]-data[[#This Row],[Cost]]</f>
        <v>2380.0100000000002</v>
      </c>
    </row>
    <row r="204" spans="3:10" x14ac:dyDescent="0.3">
      <c r="C204" t="s">
        <v>41</v>
      </c>
      <c r="D204" t="s">
        <v>37</v>
      </c>
      <c r="E204" t="s">
        <v>26</v>
      </c>
      <c r="F204" s="4">
        <v>2324</v>
      </c>
      <c r="G204" s="5">
        <v>177</v>
      </c>
      <c r="H204">
        <f>_xlfn.XLOOKUP(data[[#This Row],[Product]],products[Product],products[Cost per unit])</f>
        <v>5.6</v>
      </c>
      <c r="I204">
        <f>data[[#This Row],[Units]]*data[[#This Row],[Cost per unit]]</f>
        <v>991.19999999999993</v>
      </c>
      <c r="J204" s="4">
        <f>data[[#This Row],[Amount]]-data[[#This Row],[Cost]]</f>
        <v>1332.8000000000002</v>
      </c>
    </row>
    <row r="205" spans="3:10" x14ac:dyDescent="0.3">
      <c r="C205" t="s">
        <v>10</v>
      </c>
      <c r="D205" t="s">
        <v>36</v>
      </c>
      <c r="E205" t="s">
        <v>23</v>
      </c>
      <c r="F205" s="4">
        <v>2317</v>
      </c>
      <c r="G205" s="5">
        <v>261</v>
      </c>
      <c r="H205">
        <f>_xlfn.XLOOKUP(data[[#This Row],[Product]],products[Product],products[Cost per unit])</f>
        <v>6.49</v>
      </c>
      <c r="I205">
        <f>data[[#This Row],[Units]]*data[[#This Row],[Cost per unit]]</f>
        <v>1693.89</v>
      </c>
      <c r="J205" s="4">
        <f>data[[#This Row],[Amount]]-data[[#This Row],[Cost]]</f>
        <v>623.1099999999999</v>
      </c>
    </row>
    <row r="206" spans="3:10" x14ac:dyDescent="0.3">
      <c r="C206" t="s">
        <v>6</v>
      </c>
      <c r="D206" t="s">
        <v>38</v>
      </c>
      <c r="E206" t="s">
        <v>13</v>
      </c>
      <c r="F206" s="4">
        <v>2317</v>
      </c>
      <c r="G206" s="5">
        <v>123</v>
      </c>
      <c r="H206">
        <f>_xlfn.XLOOKUP(data[[#This Row],[Product]],products[Product],products[Cost per unit])</f>
        <v>9.33</v>
      </c>
      <c r="I206">
        <f>data[[#This Row],[Units]]*data[[#This Row],[Cost per unit]]</f>
        <v>1147.5899999999999</v>
      </c>
      <c r="J206" s="4">
        <f>data[[#This Row],[Amount]]-data[[#This Row],[Cost]]</f>
        <v>1169.4100000000001</v>
      </c>
    </row>
    <row r="207" spans="3:10" x14ac:dyDescent="0.3">
      <c r="C207" t="s">
        <v>40</v>
      </c>
      <c r="D207" t="s">
        <v>34</v>
      </c>
      <c r="E207" t="s">
        <v>27</v>
      </c>
      <c r="F207" s="4">
        <v>2289</v>
      </c>
      <c r="G207" s="5">
        <v>135</v>
      </c>
      <c r="H207">
        <f>_xlfn.XLOOKUP(data[[#This Row],[Product]],products[Product],products[Cost per unit])</f>
        <v>16.73</v>
      </c>
      <c r="I207">
        <f>data[[#This Row],[Units]]*data[[#This Row],[Cost per unit]]</f>
        <v>2258.5500000000002</v>
      </c>
      <c r="J207" s="4">
        <f>data[[#This Row],[Amount]]-data[[#This Row],[Cost]]</f>
        <v>30.449999999999818</v>
      </c>
    </row>
    <row r="208" spans="3:10" x14ac:dyDescent="0.3">
      <c r="C208" t="s">
        <v>40</v>
      </c>
      <c r="D208" t="s">
        <v>35</v>
      </c>
      <c r="E208" t="s">
        <v>30</v>
      </c>
      <c r="F208" s="4">
        <v>2275</v>
      </c>
      <c r="G208" s="5">
        <v>447</v>
      </c>
      <c r="H208">
        <f>_xlfn.XLOOKUP(data[[#This Row],[Product]],products[Product],products[Cost per unit])</f>
        <v>14.49</v>
      </c>
      <c r="I208">
        <f>data[[#This Row],[Units]]*data[[#This Row],[Cost per unit]]</f>
        <v>6477.03</v>
      </c>
      <c r="J208" s="4">
        <f>data[[#This Row],[Amount]]-data[[#This Row],[Cost]]</f>
        <v>-4202.03</v>
      </c>
    </row>
    <row r="209" spans="3:10" x14ac:dyDescent="0.3">
      <c r="C209" t="s">
        <v>8</v>
      </c>
      <c r="D209" t="s">
        <v>38</v>
      </c>
      <c r="E209" t="s">
        <v>27</v>
      </c>
      <c r="F209" s="4">
        <v>2268</v>
      </c>
      <c r="G209" s="5">
        <v>63</v>
      </c>
      <c r="H209">
        <f>_xlfn.XLOOKUP(data[[#This Row],[Product]],products[Product],products[Cost per unit])</f>
        <v>16.73</v>
      </c>
      <c r="I209">
        <f>data[[#This Row],[Units]]*data[[#This Row],[Cost per unit]]</f>
        <v>1053.99</v>
      </c>
      <c r="J209" s="4">
        <f>data[[#This Row],[Amount]]-data[[#This Row],[Cost]]</f>
        <v>1214.01</v>
      </c>
    </row>
    <row r="210" spans="3:10" x14ac:dyDescent="0.3">
      <c r="C210" t="s">
        <v>7</v>
      </c>
      <c r="D210" t="s">
        <v>34</v>
      </c>
      <c r="E210" t="s">
        <v>33</v>
      </c>
      <c r="F210" s="4">
        <v>2226</v>
      </c>
      <c r="G210" s="5">
        <v>48</v>
      </c>
      <c r="H210">
        <f>_xlfn.XLOOKUP(data[[#This Row],[Product]],products[Product],products[Cost per unit])</f>
        <v>12.37</v>
      </c>
      <c r="I210">
        <f>data[[#This Row],[Units]]*data[[#This Row],[Cost per unit]]</f>
        <v>593.76</v>
      </c>
      <c r="J210" s="4">
        <f>data[[#This Row],[Amount]]-data[[#This Row],[Cost]]</f>
        <v>1632.24</v>
      </c>
    </row>
    <row r="211" spans="3:10" x14ac:dyDescent="0.3">
      <c r="C211" t="s">
        <v>6</v>
      </c>
      <c r="D211" t="s">
        <v>34</v>
      </c>
      <c r="E211" t="s">
        <v>16</v>
      </c>
      <c r="F211" s="4">
        <v>2219</v>
      </c>
      <c r="G211" s="5">
        <v>75</v>
      </c>
      <c r="H211">
        <f>_xlfn.XLOOKUP(data[[#This Row],[Product]],products[Product],products[Cost per unit])</f>
        <v>8.7899999999999991</v>
      </c>
      <c r="I211">
        <f>data[[#This Row],[Units]]*data[[#This Row],[Cost per unit]]</f>
        <v>659.24999999999989</v>
      </c>
      <c r="J211" s="4">
        <f>data[[#This Row],[Amount]]-data[[#This Row],[Cost]]</f>
        <v>1559.75</v>
      </c>
    </row>
    <row r="212" spans="3:10" x14ac:dyDescent="0.3">
      <c r="C212" t="s">
        <v>3</v>
      </c>
      <c r="D212" t="s">
        <v>34</v>
      </c>
      <c r="E212" t="s">
        <v>23</v>
      </c>
      <c r="F212" s="4">
        <v>2212</v>
      </c>
      <c r="G212" s="5">
        <v>117</v>
      </c>
      <c r="H212">
        <f>_xlfn.XLOOKUP(data[[#This Row],[Product]],products[Product],products[Cost per unit])</f>
        <v>6.49</v>
      </c>
      <c r="I212">
        <f>data[[#This Row],[Units]]*data[[#This Row],[Cost per unit]]</f>
        <v>759.33</v>
      </c>
      <c r="J212" s="4">
        <f>data[[#This Row],[Amount]]-data[[#This Row],[Cost]]</f>
        <v>1452.67</v>
      </c>
    </row>
    <row r="213" spans="3:10" x14ac:dyDescent="0.3">
      <c r="C213" t="s">
        <v>10</v>
      </c>
      <c r="D213" t="s">
        <v>38</v>
      </c>
      <c r="E213" t="s">
        <v>22</v>
      </c>
      <c r="F213" s="4">
        <v>2205</v>
      </c>
      <c r="G213" s="5">
        <v>141</v>
      </c>
      <c r="H213">
        <f>_xlfn.XLOOKUP(data[[#This Row],[Product]],products[Product],products[Cost per unit])</f>
        <v>9.77</v>
      </c>
      <c r="I213">
        <f>data[[#This Row],[Units]]*data[[#This Row],[Cost per unit]]</f>
        <v>1377.57</v>
      </c>
      <c r="J213" s="4">
        <f>data[[#This Row],[Amount]]-data[[#This Row],[Cost]]</f>
        <v>827.43000000000006</v>
      </c>
    </row>
    <row r="214" spans="3:10" x14ac:dyDescent="0.3">
      <c r="C214" t="s">
        <v>7</v>
      </c>
      <c r="D214" t="s">
        <v>34</v>
      </c>
      <c r="E214" t="s">
        <v>20</v>
      </c>
      <c r="F214" s="4">
        <v>2205</v>
      </c>
      <c r="G214" s="5">
        <v>138</v>
      </c>
      <c r="H214">
        <f>_xlfn.XLOOKUP(data[[#This Row],[Product]],products[Product],products[Cost per unit])</f>
        <v>10.62</v>
      </c>
      <c r="I214">
        <f>data[[#This Row],[Units]]*data[[#This Row],[Cost per unit]]</f>
        <v>1465.56</v>
      </c>
      <c r="J214" s="4">
        <f>data[[#This Row],[Amount]]-data[[#This Row],[Cost]]</f>
        <v>739.44</v>
      </c>
    </row>
    <row r="215" spans="3:10" x14ac:dyDescent="0.3">
      <c r="C215" t="s">
        <v>7</v>
      </c>
      <c r="D215" t="s">
        <v>36</v>
      </c>
      <c r="E215" t="s">
        <v>31</v>
      </c>
      <c r="F215" s="4">
        <v>2149</v>
      </c>
      <c r="G215" s="5">
        <v>117</v>
      </c>
      <c r="H215">
        <f>_xlfn.XLOOKUP(data[[#This Row],[Product]],products[Product],products[Cost per unit])</f>
        <v>5.79</v>
      </c>
      <c r="I215">
        <f>data[[#This Row],[Units]]*data[[#This Row],[Cost per unit]]</f>
        <v>677.43</v>
      </c>
      <c r="J215" s="4">
        <f>data[[#This Row],[Amount]]-data[[#This Row],[Cost]]</f>
        <v>1471.5700000000002</v>
      </c>
    </row>
    <row r="216" spans="3:10" x14ac:dyDescent="0.3">
      <c r="C216" t="s">
        <v>9</v>
      </c>
      <c r="D216" t="s">
        <v>36</v>
      </c>
      <c r="E216" t="s">
        <v>25</v>
      </c>
      <c r="F216" s="4">
        <v>2142</v>
      </c>
      <c r="G216" s="5">
        <v>114</v>
      </c>
      <c r="H216">
        <f>_xlfn.XLOOKUP(data[[#This Row],[Product]],products[Product],products[Cost per unit])</f>
        <v>13.15</v>
      </c>
      <c r="I216">
        <f>data[[#This Row],[Units]]*data[[#This Row],[Cost per unit]]</f>
        <v>1499.1000000000001</v>
      </c>
      <c r="J216" s="4">
        <f>data[[#This Row],[Amount]]-data[[#This Row],[Cost]]</f>
        <v>642.89999999999986</v>
      </c>
    </row>
    <row r="217" spans="3:10" x14ac:dyDescent="0.3">
      <c r="C217" t="s">
        <v>7</v>
      </c>
      <c r="D217" t="s">
        <v>35</v>
      </c>
      <c r="E217" t="s">
        <v>16</v>
      </c>
      <c r="F217" s="4">
        <v>2135</v>
      </c>
      <c r="G217" s="5">
        <v>27</v>
      </c>
      <c r="H217">
        <f>_xlfn.XLOOKUP(data[[#This Row],[Product]],products[Product],products[Cost per unit])</f>
        <v>8.7899999999999991</v>
      </c>
      <c r="I217">
        <f>data[[#This Row],[Units]]*data[[#This Row],[Cost per unit]]</f>
        <v>237.32999999999998</v>
      </c>
      <c r="J217" s="4">
        <f>data[[#This Row],[Amount]]-data[[#This Row],[Cost]]</f>
        <v>1897.67</v>
      </c>
    </row>
    <row r="218" spans="3:10" x14ac:dyDescent="0.3">
      <c r="C218" t="s">
        <v>3</v>
      </c>
      <c r="D218" t="s">
        <v>35</v>
      </c>
      <c r="E218" t="s">
        <v>29</v>
      </c>
      <c r="F218" s="4">
        <v>2114</v>
      </c>
      <c r="G218" s="5">
        <v>66</v>
      </c>
      <c r="H218">
        <f>_xlfn.XLOOKUP(data[[#This Row],[Product]],products[Product],products[Cost per unit])</f>
        <v>7.16</v>
      </c>
      <c r="I218">
        <f>data[[#This Row],[Units]]*data[[#This Row],[Cost per unit]]</f>
        <v>472.56</v>
      </c>
      <c r="J218" s="4">
        <f>data[[#This Row],[Amount]]-data[[#This Row],[Cost]]</f>
        <v>1641.44</v>
      </c>
    </row>
    <row r="219" spans="3:10" x14ac:dyDescent="0.3">
      <c r="C219" t="s">
        <v>41</v>
      </c>
      <c r="D219" t="s">
        <v>35</v>
      </c>
      <c r="E219" t="s">
        <v>15</v>
      </c>
      <c r="F219" s="4">
        <v>2114</v>
      </c>
      <c r="G219" s="5">
        <v>186</v>
      </c>
      <c r="H219">
        <f>_xlfn.XLOOKUP(data[[#This Row],[Product]],products[Product],products[Cost per unit])</f>
        <v>11.73</v>
      </c>
      <c r="I219">
        <f>data[[#This Row],[Units]]*data[[#This Row],[Cost per unit]]</f>
        <v>2181.7800000000002</v>
      </c>
      <c r="J219" s="4">
        <f>data[[#This Row],[Amount]]-data[[#This Row],[Cost]]</f>
        <v>-67.7800000000002</v>
      </c>
    </row>
    <row r="220" spans="3:10" x14ac:dyDescent="0.3">
      <c r="C220" t="s">
        <v>6</v>
      </c>
      <c r="D220" t="s">
        <v>39</v>
      </c>
      <c r="E220" t="s">
        <v>25</v>
      </c>
      <c r="F220" s="4">
        <v>2100</v>
      </c>
      <c r="G220" s="5">
        <v>414</v>
      </c>
      <c r="H220">
        <f>_xlfn.XLOOKUP(data[[#This Row],[Product]],products[Product],products[Cost per unit])</f>
        <v>13.15</v>
      </c>
      <c r="I220">
        <f>data[[#This Row],[Units]]*data[[#This Row],[Cost per unit]]</f>
        <v>5444.1</v>
      </c>
      <c r="J220" s="4">
        <f>data[[#This Row],[Amount]]-data[[#This Row],[Cost]]</f>
        <v>-3344.1000000000004</v>
      </c>
    </row>
    <row r="221" spans="3:10" x14ac:dyDescent="0.3">
      <c r="C221" t="s">
        <v>8</v>
      </c>
      <c r="D221" t="s">
        <v>35</v>
      </c>
      <c r="E221" t="s">
        <v>29</v>
      </c>
      <c r="F221" s="4">
        <v>2023</v>
      </c>
      <c r="G221" s="5">
        <v>168</v>
      </c>
      <c r="H221">
        <f>_xlfn.XLOOKUP(data[[#This Row],[Product]],products[Product],products[Cost per unit])</f>
        <v>7.16</v>
      </c>
      <c r="I221">
        <f>data[[#This Row],[Units]]*data[[#This Row],[Cost per unit]]</f>
        <v>1202.8800000000001</v>
      </c>
      <c r="J221" s="4">
        <f>data[[#This Row],[Amount]]-data[[#This Row],[Cost]]</f>
        <v>820.11999999999989</v>
      </c>
    </row>
    <row r="222" spans="3:10" x14ac:dyDescent="0.3">
      <c r="C222" t="s">
        <v>3</v>
      </c>
      <c r="D222" t="s">
        <v>35</v>
      </c>
      <c r="E222" t="s">
        <v>23</v>
      </c>
      <c r="F222" s="4">
        <v>2023</v>
      </c>
      <c r="G222" s="5">
        <v>78</v>
      </c>
      <c r="H222">
        <f>_xlfn.XLOOKUP(data[[#This Row],[Product]],products[Product],products[Cost per unit])</f>
        <v>6.49</v>
      </c>
      <c r="I222">
        <f>data[[#This Row],[Units]]*data[[#This Row],[Cost per unit]]</f>
        <v>506.22</v>
      </c>
      <c r="J222" s="4">
        <f>data[[#This Row],[Amount]]-data[[#This Row],[Cost]]</f>
        <v>1516.78</v>
      </c>
    </row>
    <row r="223" spans="3:10" x14ac:dyDescent="0.3">
      <c r="C223" t="s">
        <v>2</v>
      </c>
      <c r="D223" t="s">
        <v>39</v>
      </c>
      <c r="E223" t="s">
        <v>16</v>
      </c>
      <c r="F223" s="4">
        <v>2016</v>
      </c>
      <c r="G223" s="5">
        <v>117</v>
      </c>
      <c r="H223">
        <f>_xlfn.XLOOKUP(data[[#This Row],[Product]],products[Product],products[Cost per unit])</f>
        <v>8.7899999999999991</v>
      </c>
      <c r="I223">
        <f>data[[#This Row],[Units]]*data[[#This Row],[Cost per unit]]</f>
        <v>1028.4299999999998</v>
      </c>
      <c r="J223" s="4">
        <f>data[[#This Row],[Amount]]-data[[#This Row],[Cost]]</f>
        <v>987.57000000000016</v>
      </c>
    </row>
    <row r="224" spans="3:10" x14ac:dyDescent="0.3">
      <c r="C224" t="s">
        <v>8</v>
      </c>
      <c r="D224" t="s">
        <v>34</v>
      </c>
      <c r="E224" t="s">
        <v>16</v>
      </c>
      <c r="F224" s="4">
        <v>2009</v>
      </c>
      <c r="G224" s="5">
        <v>219</v>
      </c>
      <c r="H224">
        <f>_xlfn.XLOOKUP(data[[#This Row],[Product]],products[Product],products[Cost per unit])</f>
        <v>8.7899999999999991</v>
      </c>
      <c r="I224">
        <f>data[[#This Row],[Units]]*data[[#This Row],[Cost per unit]]</f>
        <v>1925.0099999999998</v>
      </c>
      <c r="J224" s="4">
        <f>data[[#This Row],[Amount]]-data[[#This Row],[Cost]]</f>
        <v>83.990000000000236</v>
      </c>
    </row>
    <row r="225" spans="3:10" x14ac:dyDescent="0.3">
      <c r="C225" t="s">
        <v>40</v>
      </c>
      <c r="D225" t="s">
        <v>38</v>
      </c>
      <c r="E225" t="s">
        <v>31</v>
      </c>
      <c r="F225" s="4">
        <v>1988</v>
      </c>
      <c r="G225" s="5">
        <v>39</v>
      </c>
      <c r="H225">
        <f>_xlfn.XLOOKUP(data[[#This Row],[Product]],products[Product],products[Cost per unit])</f>
        <v>5.79</v>
      </c>
      <c r="I225">
        <f>data[[#This Row],[Units]]*data[[#This Row],[Cost per unit]]</f>
        <v>225.81</v>
      </c>
      <c r="J225" s="4">
        <f>data[[#This Row],[Amount]]-data[[#This Row],[Cost]]</f>
        <v>1762.19</v>
      </c>
    </row>
    <row r="226" spans="3:10" x14ac:dyDescent="0.3">
      <c r="C226" t="s">
        <v>10</v>
      </c>
      <c r="D226" t="s">
        <v>35</v>
      </c>
      <c r="E226" t="s">
        <v>20</v>
      </c>
      <c r="F226" s="4">
        <v>1974</v>
      </c>
      <c r="G226" s="5">
        <v>195</v>
      </c>
      <c r="H226">
        <f>_xlfn.XLOOKUP(data[[#This Row],[Product]],products[Product],products[Cost per unit])</f>
        <v>10.62</v>
      </c>
      <c r="I226">
        <f>data[[#This Row],[Units]]*data[[#This Row],[Cost per unit]]</f>
        <v>2070.8999999999996</v>
      </c>
      <c r="J226" s="4">
        <f>data[[#This Row],[Amount]]-data[[#This Row],[Cost]]</f>
        <v>-96.899999999999636</v>
      </c>
    </row>
    <row r="227" spans="3:10" x14ac:dyDescent="0.3">
      <c r="C227" t="s">
        <v>7</v>
      </c>
      <c r="D227" t="s">
        <v>34</v>
      </c>
      <c r="E227" t="s">
        <v>14</v>
      </c>
      <c r="F227" s="4">
        <v>1932</v>
      </c>
      <c r="G227" s="5">
        <v>369</v>
      </c>
      <c r="H227">
        <f>_xlfn.XLOOKUP(data[[#This Row],[Product]],products[Product],products[Cost per unit])</f>
        <v>11.7</v>
      </c>
      <c r="I227">
        <f>data[[#This Row],[Units]]*data[[#This Row],[Cost per unit]]</f>
        <v>4317.3</v>
      </c>
      <c r="J227" s="4">
        <f>data[[#This Row],[Amount]]-data[[#This Row],[Cost]]</f>
        <v>-2385.3000000000002</v>
      </c>
    </row>
    <row r="228" spans="3:10" x14ac:dyDescent="0.3">
      <c r="C228" t="s">
        <v>41</v>
      </c>
      <c r="D228" t="s">
        <v>36</v>
      </c>
      <c r="E228" t="s">
        <v>19</v>
      </c>
      <c r="F228" s="4">
        <v>1925</v>
      </c>
      <c r="G228" s="5">
        <v>192</v>
      </c>
      <c r="H228">
        <f>_xlfn.XLOOKUP(data[[#This Row],[Product]],products[Product],products[Cost per unit])</f>
        <v>7.64</v>
      </c>
      <c r="I228">
        <f>data[[#This Row],[Units]]*data[[#This Row],[Cost per unit]]</f>
        <v>1466.8799999999999</v>
      </c>
      <c r="J228" s="4">
        <f>data[[#This Row],[Amount]]-data[[#This Row],[Cost]]</f>
        <v>458.12000000000012</v>
      </c>
    </row>
    <row r="229" spans="3:10" x14ac:dyDescent="0.3">
      <c r="C229" t="s">
        <v>6</v>
      </c>
      <c r="D229" t="s">
        <v>37</v>
      </c>
      <c r="E229" t="s">
        <v>16</v>
      </c>
      <c r="F229" s="4">
        <v>1904</v>
      </c>
      <c r="G229" s="5">
        <v>405</v>
      </c>
      <c r="H229">
        <f>_xlfn.XLOOKUP(data[[#This Row],[Product]],products[Product],products[Cost per unit])</f>
        <v>8.7899999999999991</v>
      </c>
      <c r="I229">
        <f>data[[#This Row],[Units]]*data[[#This Row],[Cost per unit]]</f>
        <v>3559.95</v>
      </c>
      <c r="J229" s="4">
        <f>data[[#This Row],[Amount]]-data[[#This Row],[Cost]]</f>
        <v>-1655.9499999999998</v>
      </c>
    </row>
    <row r="230" spans="3:10" x14ac:dyDescent="0.3">
      <c r="C230" t="s">
        <v>8</v>
      </c>
      <c r="D230" t="s">
        <v>37</v>
      </c>
      <c r="E230" t="s">
        <v>22</v>
      </c>
      <c r="F230" s="4">
        <v>1890</v>
      </c>
      <c r="G230" s="5">
        <v>195</v>
      </c>
      <c r="H230">
        <f>_xlfn.XLOOKUP(data[[#This Row],[Product]],products[Product],products[Cost per unit])</f>
        <v>9.77</v>
      </c>
      <c r="I230">
        <f>data[[#This Row],[Units]]*data[[#This Row],[Cost per unit]]</f>
        <v>1905.1499999999999</v>
      </c>
      <c r="J230" s="4">
        <f>data[[#This Row],[Amount]]-data[[#This Row],[Cost]]</f>
        <v>-15.149999999999864</v>
      </c>
    </row>
    <row r="231" spans="3:10" x14ac:dyDescent="0.3">
      <c r="C231" t="s">
        <v>2</v>
      </c>
      <c r="D231" t="s">
        <v>39</v>
      </c>
      <c r="E231" t="s">
        <v>25</v>
      </c>
      <c r="F231" s="4">
        <v>1785</v>
      </c>
      <c r="G231" s="5">
        <v>462</v>
      </c>
      <c r="H231">
        <f>_xlfn.XLOOKUP(data[[#This Row],[Product]],products[Product],products[Cost per unit])</f>
        <v>13.15</v>
      </c>
      <c r="I231">
        <f>data[[#This Row],[Units]]*data[[#This Row],[Cost per unit]]</f>
        <v>6075.3</v>
      </c>
      <c r="J231" s="4">
        <f>data[[#This Row],[Amount]]-data[[#This Row],[Cost]]</f>
        <v>-4290.3</v>
      </c>
    </row>
    <row r="232" spans="3:10" x14ac:dyDescent="0.3">
      <c r="C232" t="s">
        <v>7</v>
      </c>
      <c r="D232" t="s">
        <v>38</v>
      </c>
      <c r="E232" t="s">
        <v>18</v>
      </c>
      <c r="F232" s="4">
        <v>1778</v>
      </c>
      <c r="G232" s="5">
        <v>270</v>
      </c>
      <c r="H232">
        <f>_xlfn.XLOOKUP(data[[#This Row],[Product]],products[Product],products[Cost per unit])</f>
        <v>6.47</v>
      </c>
      <c r="I232">
        <f>data[[#This Row],[Units]]*data[[#This Row],[Cost per unit]]</f>
        <v>1746.8999999999999</v>
      </c>
      <c r="J232" s="4">
        <f>data[[#This Row],[Amount]]-data[[#This Row],[Cost]]</f>
        <v>31.100000000000136</v>
      </c>
    </row>
    <row r="233" spans="3:10" x14ac:dyDescent="0.3">
      <c r="C233" t="s">
        <v>8</v>
      </c>
      <c r="D233" t="s">
        <v>37</v>
      </c>
      <c r="E233" t="s">
        <v>19</v>
      </c>
      <c r="F233" s="4">
        <v>1771</v>
      </c>
      <c r="G233" s="5">
        <v>204</v>
      </c>
      <c r="H233">
        <f>_xlfn.XLOOKUP(data[[#This Row],[Product]],products[Product],products[Cost per unit])</f>
        <v>7.64</v>
      </c>
      <c r="I233">
        <f>data[[#This Row],[Units]]*data[[#This Row],[Cost per unit]]</f>
        <v>1558.56</v>
      </c>
      <c r="J233" s="4">
        <f>data[[#This Row],[Amount]]-data[[#This Row],[Cost]]</f>
        <v>212.44000000000005</v>
      </c>
    </row>
    <row r="234" spans="3:10" x14ac:dyDescent="0.3">
      <c r="C234" t="s">
        <v>8</v>
      </c>
      <c r="D234" t="s">
        <v>38</v>
      </c>
      <c r="E234" t="s">
        <v>23</v>
      </c>
      <c r="F234" s="4">
        <v>1701</v>
      </c>
      <c r="G234" s="5">
        <v>234</v>
      </c>
      <c r="H234">
        <f>_xlfn.XLOOKUP(data[[#This Row],[Product]],products[Product],products[Cost per unit])</f>
        <v>6.49</v>
      </c>
      <c r="I234">
        <f>data[[#This Row],[Units]]*data[[#This Row],[Cost per unit]]</f>
        <v>1518.66</v>
      </c>
      <c r="J234" s="4">
        <f>data[[#This Row],[Amount]]-data[[#This Row],[Cost]]</f>
        <v>182.33999999999992</v>
      </c>
    </row>
    <row r="235" spans="3:10" x14ac:dyDescent="0.3">
      <c r="C235" t="s">
        <v>5</v>
      </c>
      <c r="D235" t="s">
        <v>34</v>
      </c>
      <c r="E235" t="s">
        <v>33</v>
      </c>
      <c r="F235" s="4">
        <v>1652</v>
      </c>
      <c r="G235" s="5">
        <v>93</v>
      </c>
      <c r="H235">
        <f>_xlfn.XLOOKUP(data[[#This Row],[Product]],products[Product],products[Cost per unit])</f>
        <v>12.37</v>
      </c>
      <c r="I235">
        <f>data[[#This Row],[Units]]*data[[#This Row],[Cost per unit]]</f>
        <v>1150.4099999999999</v>
      </c>
      <c r="J235" s="4">
        <f>data[[#This Row],[Amount]]-data[[#This Row],[Cost]]</f>
        <v>501.59000000000015</v>
      </c>
    </row>
    <row r="236" spans="3:10" x14ac:dyDescent="0.3">
      <c r="C236" t="s">
        <v>3</v>
      </c>
      <c r="D236" t="s">
        <v>39</v>
      </c>
      <c r="E236" t="s">
        <v>28</v>
      </c>
      <c r="F236" s="4">
        <v>1652</v>
      </c>
      <c r="G236" s="5">
        <v>102</v>
      </c>
      <c r="H236">
        <f>_xlfn.XLOOKUP(data[[#This Row],[Product]],products[Product],products[Cost per unit])</f>
        <v>10.38</v>
      </c>
      <c r="I236">
        <f>data[[#This Row],[Units]]*data[[#This Row],[Cost per unit]]</f>
        <v>1058.76</v>
      </c>
      <c r="J236" s="4">
        <f>data[[#This Row],[Amount]]-data[[#This Row],[Cost]]</f>
        <v>593.24</v>
      </c>
    </row>
    <row r="237" spans="3:10" x14ac:dyDescent="0.3">
      <c r="C237" t="s">
        <v>6</v>
      </c>
      <c r="D237" t="s">
        <v>39</v>
      </c>
      <c r="E237" t="s">
        <v>30</v>
      </c>
      <c r="F237" s="4">
        <v>1638</v>
      </c>
      <c r="G237" s="5">
        <v>63</v>
      </c>
      <c r="H237">
        <f>_xlfn.XLOOKUP(data[[#This Row],[Product]],products[Product],products[Cost per unit])</f>
        <v>14.49</v>
      </c>
      <c r="I237">
        <f>data[[#This Row],[Units]]*data[[#This Row],[Cost per unit]]</f>
        <v>912.87</v>
      </c>
      <c r="J237" s="4">
        <f>data[[#This Row],[Amount]]-data[[#This Row],[Cost]]</f>
        <v>725.13</v>
      </c>
    </row>
    <row r="238" spans="3:10" x14ac:dyDescent="0.3">
      <c r="C238" t="s">
        <v>40</v>
      </c>
      <c r="D238" t="s">
        <v>35</v>
      </c>
      <c r="E238" t="s">
        <v>24</v>
      </c>
      <c r="F238" s="4">
        <v>1638</v>
      </c>
      <c r="G238" s="5">
        <v>48</v>
      </c>
      <c r="H238">
        <f>_xlfn.XLOOKUP(data[[#This Row],[Product]],products[Product],products[Cost per unit])</f>
        <v>4.97</v>
      </c>
      <c r="I238">
        <f>data[[#This Row],[Units]]*data[[#This Row],[Cost per unit]]</f>
        <v>238.56</v>
      </c>
      <c r="J238" s="4">
        <f>data[[#This Row],[Amount]]-data[[#This Row],[Cost]]</f>
        <v>1399.44</v>
      </c>
    </row>
    <row r="239" spans="3:10" x14ac:dyDescent="0.3">
      <c r="C239" t="s">
        <v>40</v>
      </c>
      <c r="D239" t="s">
        <v>37</v>
      </c>
      <c r="E239" t="s">
        <v>30</v>
      </c>
      <c r="F239" s="4">
        <v>1624</v>
      </c>
      <c r="G239" s="5">
        <v>114</v>
      </c>
      <c r="H239">
        <f>_xlfn.XLOOKUP(data[[#This Row],[Product]],products[Product],products[Cost per unit])</f>
        <v>14.49</v>
      </c>
      <c r="I239">
        <f>data[[#This Row],[Units]]*data[[#This Row],[Cost per unit]]</f>
        <v>1651.8600000000001</v>
      </c>
      <c r="J239" s="4">
        <f>data[[#This Row],[Amount]]-data[[#This Row],[Cost]]</f>
        <v>-27.860000000000127</v>
      </c>
    </row>
    <row r="240" spans="3:10" x14ac:dyDescent="0.3">
      <c r="C240" t="s">
        <v>40</v>
      </c>
      <c r="D240" t="s">
        <v>35</v>
      </c>
      <c r="E240" t="s">
        <v>29</v>
      </c>
      <c r="F240" s="4">
        <v>1617</v>
      </c>
      <c r="G240" s="5">
        <v>126</v>
      </c>
      <c r="H240">
        <f>_xlfn.XLOOKUP(data[[#This Row],[Product]],products[Product],products[Cost per unit])</f>
        <v>7.16</v>
      </c>
      <c r="I240">
        <f>data[[#This Row],[Units]]*data[[#This Row],[Cost per unit]]</f>
        <v>902.16</v>
      </c>
      <c r="J240" s="4">
        <f>data[[#This Row],[Amount]]-data[[#This Row],[Cost]]</f>
        <v>714.84</v>
      </c>
    </row>
    <row r="241" spans="3:10" x14ac:dyDescent="0.3">
      <c r="C241" t="s">
        <v>2</v>
      </c>
      <c r="D241" t="s">
        <v>35</v>
      </c>
      <c r="E241" t="s">
        <v>17</v>
      </c>
      <c r="F241" s="4">
        <v>1589</v>
      </c>
      <c r="G241" s="5">
        <v>303</v>
      </c>
      <c r="H241">
        <f>_xlfn.XLOOKUP(data[[#This Row],[Product]],products[Product],products[Cost per unit])</f>
        <v>3.11</v>
      </c>
      <c r="I241">
        <f>data[[#This Row],[Units]]*data[[#This Row],[Cost per unit]]</f>
        <v>942.32999999999993</v>
      </c>
      <c r="J241" s="4">
        <f>data[[#This Row],[Amount]]-data[[#This Row],[Cost]]</f>
        <v>646.67000000000007</v>
      </c>
    </row>
    <row r="242" spans="3:10" x14ac:dyDescent="0.3">
      <c r="C242" t="s">
        <v>7</v>
      </c>
      <c r="D242" t="s">
        <v>34</v>
      </c>
      <c r="E242" t="s">
        <v>25</v>
      </c>
      <c r="F242" s="4">
        <v>1568</v>
      </c>
      <c r="G242" s="5">
        <v>96</v>
      </c>
      <c r="H242">
        <f>_xlfn.XLOOKUP(data[[#This Row],[Product]],products[Product],products[Cost per unit])</f>
        <v>13.15</v>
      </c>
      <c r="I242">
        <f>data[[#This Row],[Units]]*data[[#This Row],[Cost per unit]]</f>
        <v>1262.4000000000001</v>
      </c>
      <c r="J242" s="4">
        <f>data[[#This Row],[Amount]]-data[[#This Row],[Cost]]</f>
        <v>305.59999999999991</v>
      </c>
    </row>
    <row r="243" spans="3:10" x14ac:dyDescent="0.3">
      <c r="C243" t="s">
        <v>2</v>
      </c>
      <c r="D243" t="s">
        <v>39</v>
      </c>
      <c r="E243" t="s">
        <v>22</v>
      </c>
      <c r="F243" s="4">
        <v>1568</v>
      </c>
      <c r="G243" s="5">
        <v>141</v>
      </c>
      <c r="H243">
        <f>_xlfn.XLOOKUP(data[[#This Row],[Product]],products[Product],products[Cost per unit])</f>
        <v>9.77</v>
      </c>
      <c r="I243">
        <f>data[[#This Row],[Units]]*data[[#This Row],[Cost per unit]]</f>
        <v>1377.57</v>
      </c>
      <c r="J243" s="4">
        <f>data[[#This Row],[Amount]]-data[[#This Row],[Cost]]</f>
        <v>190.43000000000006</v>
      </c>
    </row>
    <row r="244" spans="3:10" x14ac:dyDescent="0.3">
      <c r="C244" t="s">
        <v>8</v>
      </c>
      <c r="D244" t="s">
        <v>39</v>
      </c>
      <c r="E244" t="s">
        <v>26</v>
      </c>
      <c r="F244" s="4">
        <v>1561</v>
      </c>
      <c r="G244" s="5">
        <v>27</v>
      </c>
      <c r="H244">
        <f>_xlfn.XLOOKUP(data[[#This Row],[Product]],products[Product],products[Cost per unit])</f>
        <v>5.6</v>
      </c>
      <c r="I244">
        <f>data[[#This Row],[Units]]*data[[#This Row],[Cost per unit]]</f>
        <v>151.19999999999999</v>
      </c>
      <c r="J244" s="4">
        <f>data[[#This Row],[Amount]]-data[[#This Row],[Cost]]</f>
        <v>1409.8</v>
      </c>
    </row>
    <row r="245" spans="3:10" x14ac:dyDescent="0.3">
      <c r="C245" t="s">
        <v>41</v>
      </c>
      <c r="D245" t="s">
        <v>37</v>
      </c>
      <c r="E245" t="s">
        <v>30</v>
      </c>
      <c r="F245" s="4">
        <v>1526</v>
      </c>
      <c r="G245" s="5">
        <v>240</v>
      </c>
      <c r="H245">
        <f>_xlfn.XLOOKUP(data[[#This Row],[Product]],products[Product],products[Cost per unit])</f>
        <v>14.49</v>
      </c>
      <c r="I245">
        <f>data[[#This Row],[Units]]*data[[#This Row],[Cost per unit]]</f>
        <v>3477.6</v>
      </c>
      <c r="J245" s="4">
        <f>data[[#This Row],[Amount]]-data[[#This Row],[Cost]]</f>
        <v>-1951.6</v>
      </c>
    </row>
    <row r="246" spans="3:10" x14ac:dyDescent="0.3">
      <c r="C246" t="s">
        <v>5</v>
      </c>
      <c r="D246" t="s">
        <v>36</v>
      </c>
      <c r="E246" t="s">
        <v>30</v>
      </c>
      <c r="F246" s="4">
        <v>1526</v>
      </c>
      <c r="G246" s="5">
        <v>105</v>
      </c>
      <c r="H246">
        <f>_xlfn.XLOOKUP(data[[#This Row],[Product]],products[Product],products[Cost per unit])</f>
        <v>14.49</v>
      </c>
      <c r="I246">
        <f>data[[#This Row],[Units]]*data[[#This Row],[Cost per unit]]</f>
        <v>1521.45</v>
      </c>
      <c r="J246" s="4">
        <f>data[[#This Row],[Amount]]-data[[#This Row],[Cost]]</f>
        <v>4.5499999999999545</v>
      </c>
    </row>
    <row r="247" spans="3:10" x14ac:dyDescent="0.3">
      <c r="C247" t="s">
        <v>6</v>
      </c>
      <c r="D247" t="s">
        <v>37</v>
      </c>
      <c r="E247" t="s">
        <v>18</v>
      </c>
      <c r="F247" s="4">
        <v>1505</v>
      </c>
      <c r="G247" s="5">
        <v>102</v>
      </c>
      <c r="H247">
        <f>_xlfn.XLOOKUP(data[[#This Row],[Product]],products[Product],products[Cost per unit])</f>
        <v>6.47</v>
      </c>
      <c r="I247">
        <f>data[[#This Row],[Units]]*data[[#This Row],[Cost per unit]]</f>
        <v>659.93999999999994</v>
      </c>
      <c r="J247" s="4">
        <f>data[[#This Row],[Amount]]-data[[#This Row],[Cost]]</f>
        <v>845.06000000000006</v>
      </c>
    </row>
    <row r="248" spans="3:10" x14ac:dyDescent="0.3">
      <c r="C248" t="s">
        <v>41</v>
      </c>
      <c r="D248" t="s">
        <v>34</v>
      </c>
      <c r="E248" t="s">
        <v>17</v>
      </c>
      <c r="F248" s="4">
        <v>1463</v>
      </c>
      <c r="G248" s="5">
        <v>39</v>
      </c>
      <c r="H248">
        <f>_xlfn.XLOOKUP(data[[#This Row],[Product]],products[Product],products[Cost per unit])</f>
        <v>3.11</v>
      </c>
      <c r="I248">
        <f>data[[#This Row],[Units]]*data[[#This Row],[Cost per unit]]</f>
        <v>121.28999999999999</v>
      </c>
      <c r="J248" s="4">
        <f>data[[#This Row],[Amount]]-data[[#This Row],[Cost]]</f>
        <v>1341.71</v>
      </c>
    </row>
    <row r="249" spans="3:10" x14ac:dyDescent="0.3">
      <c r="C249" t="s">
        <v>6</v>
      </c>
      <c r="D249" t="s">
        <v>34</v>
      </c>
      <c r="E249" t="s">
        <v>15</v>
      </c>
      <c r="F249" s="4">
        <v>1442</v>
      </c>
      <c r="G249" s="5">
        <v>15</v>
      </c>
      <c r="H249">
        <f>_xlfn.XLOOKUP(data[[#This Row],[Product]],products[Product],products[Cost per unit])</f>
        <v>11.73</v>
      </c>
      <c r="I249">
        <f>data[[#This Row],[Units]]*data[[#This Row],[Cost per unit]]</f>
        <v>175.95000000000002</v>
      </c>
      <c r="J249" s="4">
        <f>data[[#This Row],[Amount]]-data[[#This Row],[Cost]]</f>
        <v>1266.05</v>
      </c>
    </row>
    <row r="250" spans="3:10" x14ac:dyDescent="0.3">
      <c r="C250" t="s">
        <v>10</v>
      </c>
      <c r="D250" t="s">
        <v>34</v>
      </c>
      <c r="E250" t="s">
        <v>25</v>
      </c>
      <c r="F250" s="4">
        <v>1428</v>
      </c>
      <c r="G250" s="5">
        <v>93</v>
      </c>
      <c r="H250">
        <f>_xlfn.XLOOKUP(data[[#This Row],[Product]],products[Product],products[Cost per unit])</f>
        <v>13.15</v>
      </c>
      <c r="I250">
        <f>data[[#This Row],[Units]]*data[[#This Row],[Cost per unit]]</f>
        <v>1222.95</v>
      </c>
      <c r="J250" s="4">
        <f>data[[#This Row],[Amount]]-data[[#This Row],[Cost]]</f>
        <v>205.04999999999995</v>
      </c>
    </row>
    <row r="251" spans="3:10" x14ac:dyDescent="0.3">
      <c r="C251" t="s">
        <v>10</v>
      </c>
      <c r="D251" t="s">
        <v>36</v>
      </c>
      <c r="E251" t="s">
        <v>27</v>
      </c>
      <c r="F251" s="4">
        <v>1407</v>
      </c>
      <c r="G251" s="5">
        <v>72</v>
      </c>
      <c r="H251">
        <f>_xlfn.XLOOKUP(data[[#This Row],[Product]],products[Product],products[Cost per unit])</f>
        <v>16.73</v>
      </c>
      <c r="I251">
        <f>data[[#This Row],[Units]]*data[[#This Row],[Cost per unit]]</f>
        <v>1204.56</v>
      </c>
      <c r="J251" s="4">
        <f>data[[#This Row],[Amount]]-data[[#This Row],[Cost]]</f>
        <v>202.44000000000005</v>
      </c>
    </row>
    <row r="252" spans="3:10" x14ac:dyDescent="0.3">
      <c r="C252" t="s">
        <v>6</v>
      </c>
      <c r="D252" t="s">
        <v>36</v>
      </c>
      <c r="E252" t="s">
        <v>29</v>
      </c>
      <c r="F252" s="4">
        <v>1400</v>
      </c>
      <c r="G252" s="5">
        <v>135</v>
      </c>
      <c r="H252">
        <f>_xlfn.XLOOKUP(data[[#This Row],[Product]],products[Product],products[Cost per unit])</f>
        <v>7.16</v>
      </c>
      <c r="I252">
        <f>data[[#This Row],[Units]]*data[[#This Row],[Cost per unit]]</f>
        <v>966.6</v>
      </c>
      <c r="J252" s="4">
        <f>data[[#This Row],[Amount]]-data[[#This Row],[Cost]]</f>
        <v>433.4</v>
      </c>
    </row>
    <row r="253" spans="3:10" x14ac:dyDescent="0.3">
      <c r="C253" t="s">
        <v>6</v>
      </c>
      <c r="D253" t="s">
        <v>35</v>
      </c>
      <c r="E253" t="s">
        <v>4</v>
      </c>
      <c r="F253" s="4">
        <v>1302</v>
      </c>
      <c r="G253" s="5">
        <v>402</v>
      </c>
      <c r="H253">
        <f>_xlfn.XLOOKUP(data[[#This Row],[Product]],products[Product],products[Cost per unit])</f>
        <v>11.88</v>
      </c>
      <c r="I253">
        <f>data[[#This Row],[Units]]*data[[#This Row],[Cost per unit]]</f>
        <v>4775.76</v>
      </c>
      <c r="J253" s="4">
        <f>data[[#This Row],[Amount]]-data[[#This Row],[Cost]]</f>
        <v>-3473.76</v>
      </c>
    </row>
    <row r="254" spans="3:10" x14ac:dyDescent="0.3">
      <c r="C254" t="s">
        <v>7</v>
      </c>
      <c r="D254" t="s">
        <v>38</v>
      </c>
      <c r="E254" t="s">
        <v>14</v>
      </c>
      <c r="F254" s="4">
        <v>1281</v>
      </c>
      <c r="G254" s="5">
        <v>75</v>
      </c>
      <c r="H254">
        <f>_xlfn.XLOOKUP(data[[#This Row],[Product]],products[Product],products[Cost per unit])</f>
        <v>11.7</v>
      </c>
      <c r="I254">
        <f>data[[#This Row],[Units]]*data[[#This Row],[Cost per unit]]</f>
        <v>877.5</v>
      </c>
      <c r="J254" s="4">
        <f>data[[#This Row],[Amount]]-data[[#This Row],[Cost]]</f>
        <v>403.5</v>
      </c>
    </row>
    <row r="255" spans="3:10" x14ac:dyDescent="0.3">
      <c r="C255" t="s">
        <v>3</v>
      </c>
      <c r="D255" t="s">
        <v>36</v>
      </c>
      <c r="E255" t="s">
        <v>19</v>
      </c>
      <c r="F255" s="4">
        <v>1281</v>
      </c>
      <c r="G255" s="5">
        <v>18</v>
      </c>
      <c r="H255">
        <f>_xlfn.XLOOKUP(data[[#This Row],[Product]],products[Product],products[Cost per unit])</f>
        <v>7.64</v>
      </c>
      <c r="I255">
        <f>data[[#This Row],[Units]]*data[[#This Row],[Cost per unit]]</f>
        <v>137.51999999999998</v>
      </c>
      <c r="J255" s="4">
        <f>data[[#This Row],[Amount]]-data[[#This Row],[Cost]]</f>
        <v>1143.48</v>
      </c>
    </row>
    <row r="256" spans="3:10" x14ac:dyDescent="0.3">
      <c r="C256" t="s">
        <v>41</v>
      </c>
      <c r="D256" t="s">
        <v>34</v>
      </c>
      <c r="E256" t="s">
        <v>16</v>
      </c>
      <c r="F256" s="4">
        <v>1274</v>
      </c>
      <c r="G256" s="5">
        <v>225</v>
      </c>
      <c r="H256">
        <f>_xlfn.XLOOKUP(data[[#This Row],[Product]],products[Product],products[Cost per unit])</f>
        <v>8.7899999999999991</v>
      </c>
      <c r="I256">
        <f>data[[#This Row],[Units]]*data[[#This Row],[Cost per unit]]</f>
        <v>1977.7499999999998</v>
      </c>
      <c r="J256" s="4">
        <f>data[[#This Row],[Amount]]-data[[#This Row],[Cost]]</f>
        <v>-703.74999999999977</v>
      </c>
    </row>
    <row r="257" spans="3:10" x14ac:dyDescent="0.3">
      <c r="C257" t="s">
        <v>6</v>
      </c>
      <c r="D257" t="s">
        <v>38</v>
      </c>
      <c r="E257" t="s">
        <v>27</v>
      </c>
      <c r="F257" s="4">
        <v>1134</v>
      </c>
      <c r="G257" s="5">
        <v>282</v>
      </c>
      <c r="H257">
        <f>_xlfn.XLOOKUP(data[[#This Row],[Product]],products[Product],products[Cost per unit])</f>
        <v>16.73</v>
      </c>
      <c r="I257">
        <f>data[[#This Row],[Units]]*data[[#This Row],[Cost per unit]]</f>
        <v>4717.8599999999997</v>
      </c>
      <c r="J257" s="4">
        <f>data[[#This Row],[Amount]]-data[[#This Row],[Cost]]</f>
        <v>-3583.8599999999997</v>
      </c>
    </row>
    <row r="258" spans="3:10" x14ac:dyDescent="0.3">
      <c r="C258" t="s">
        <v>9</v>
      </c>
      <c r="D258" t="s">
        <v>37</v>
      </c>
      <c r="E258" t="s">
        <v>29</v>
      </c>
      <c r="F258" s="4">
        <v>1085</v>
      </c>
      <c r="G258" s="5">
        <v>273</v>
      </c>
      <c r="H258">
        <f>_xlfn.XLOOKUP(data[[#This Row],[Product]],products[Product],products[Cost per unit])</f>
        <v>7.16</v>
      </c>
      <c r="I258">
        <f>data[[#This Row],[Units]]*data[[#This Row],[Cost per unit]]</f>
        <v>1954.68</v>
      </c>
      <c r="J258" s="4">
        <f>data[[#This Row],[Amount]]-data[[#This Row],[Cost]]</f>
        <v>-869.68000000000006</v>
      </c>
    </row>
    <row r="259" spans="3:10" x14ac:dyDescent="0.3">
      <c r="C259" t="s">
        <v>6</v>
      </c>
      <c r="D259" t="s">
        <v>35</v>
      </c>
      <c r="E259" t="s">
        <v>20</v>
      </c>
      <c r="F259" s="4">
        <v>1071</v>
      </c>
      <c r="G259" s="5">
        <v>270</v>
      </c>
      <c r="H259">
        <f>_xlfn.XLOOKUP(data[[#This Row],[Product]],products[Product],products[Cost per unit])</f>
        <v>10.62</v>
      </c>
      <c r="I259">
        <f>data[[#This Row],[Units]]*data[[#This Row],[Cost per unit]]</f>
        <v>2867.3999999999996</v>
      </c>
      <c r="J259" s="4">
        <f>data[[#This Row],[Amount]]-data[[#This Row],[Cost]]</f>
        <v>-1796.3999999999996</v>
      </c>
    </row>
    <row r="260" spans="3:10" x14ac:dyDescent="0.3">
      <c r="C260" t="s">
        <v>2</v>
      </c>
      <c r="D260" t="s">
        <v>37</v>
      </c>
      <c r="E260" t="s">
        <v>14</v>
      </c>
      <c r="F260" s="4">
        <v>1057</v>
      </c>
      <c r="G260" s="5">
        <v>54</v>
      </c>
      <c r="H260">
        <f>_xlfn.XLOOKUP(data[[#This Row],[Product]],products[Product],products[Cost per unit])</f>
        <v>11.7</v>
      </c>
      <c r="I260">
        <f>data[[#This Row],[Units]]*data[[#This Row],[Cost per unit]]</f>
        <v>631.79999999999995</v>
      </c>
      <c r="J260" s="4">
        <f>data[[#This Row],[Amount]]-data[[#This Row],[Cost]]</f>
        <v>425.20000000000005</v>
      </c>
    </row>
    <row r="261" spans="3:10" x14ac:dyDescent="0.3">
      <c r="C261" t="s">
        <v>3</v>
      </c>
      <c r="D261" t="s">
        <v>36</v>
      </c>
      <c r="E261" t="s">
        <v>28</v>
      </c>
      <c r="F261" s="4">
        <v>973</v>
      </c>
      <c r="G261" s="5">
        <v>162</v>
      </c>
      <c r="H261">
        <f>_xlfn.XLOOKUP(data[[#This Row],[Product]],products[Product],products[Cost per unit])</f>
        <v>10.38</v>
      </c>
      <c r="I261">
        <f>data[[#This Row],[Units]]*data[[#This Row],[Cost per unit]]</f>
        <v>1681.5600000000002</v>
      </c>
      <c r="J261" s="4">
        <f>data[[#This Row],[Amount]]-data[[#This Row],[Cost]]</f>
        <v>-708.56000000000017</v>
      </c>
    </row>
    <row r="262" spans="3:10" x14ac:dyDescent="0.3">
      <c r="C262" t="s">
        <v>7</v>
      </c>
      <c r="D262" t="s">
        <v>39</v>
      </c>
      <c r="E262" t="s">
        <v>27</v>
      </c>
      <c r="F262" s="4">
        <v>966</v>
      </c>
      <c r="G262" s="5">
        <v>198</v>
      </c>
      <c r="H262">
        <f>_xlfn.XLOOKUP(data[[#This Row],[Product]],products[Product],products[Cost per unit])</f>
        <v>16.73</v>
      </c>
      <c r="I262">
        <f>data[[#This Row],[Units]]*data[[#This Row],[Cost per unit]]</f>
        <v>3312.54</v>
      </c>
      <c r="J262" s="4">
        <f>data[[#This Row],[Amount]]-data[[#This Row],[Cost]]</f>
        <v>-2346.54</v>
      </c>
    </row>
    <row r="263" spans="3:10" x14ac:dyDescent="0.3">
      <c r="C263" t="s">
        <v>9</v>
      </c>
      <c r="D263" t="s">
        <v>35</v>
      </c>
      <c r="E263" t="s">
        <v>4</v>
      </c>
      <c r="F263" s="4">
        <v>959</v>
      </c>
      <c r="G263" s="5">
        <v>147</v>
      </c>
      <c r="H263">
        <f>_xlfn.XLOOKUP(data[[#This Row],[Product]],products[Product],products[Cost per unit])</f>
        <v>11.88</v>
      </c>
      <c r="I263">
        <f>data[[#This Row],[Units]]*data[[#This Row],[Cost per unit]]</f>
        <v>1746.3600000000001</v>
      </c>
      <c r="J263" s="4">
        <f>data[[#This Row],[Amount]]-data[[#This Row],[Cost]]</f>
        <v>-787.36000000000013</v>
      </c>
    </row>
    <row r="264" spans="3:10" x14ac:dyDescent="0.3">
      <c r="C264" t="s">
        <v>6</v>
      </c>
      <c r="D264" t="s">
        <v>38</v>
      </c>
      <c r="E264" t="s">
        <v>33</v>
      </c>
      <c r="F264" s="4">
        <v>959</v>
      </c>
      <c r="G264" s="5">
        <v>135</v>
      </c>
      <c r="H264">
        <f>_xlfn.XLOOKUP(data[[#This Row],[Product]],products[Product],products[Cost per unit])</f>
        <v>12.37</v>
      </c>
      <c r="I264">
        <f>data[[#This Row],[Units]]*data[[#This Row],[Cost per unit]]</f>
        <v>1669.9499999999998</v>
      </c>
      <c r="J264" s="4">
        <f>data[[#This Row],[Amount]]-data[[#This Row],[Cost]]</f>
        <v>-710.94999999999982</v>
      </c>
    </row>
    <row r="265" spans="3:10" x14ac:dyDescent="0.3">
      <c r="C265" t="s">
        <v>10</v>
      </c>
      <c r="D265" t="s">
        <v>36</v>
      </c>
      <c r="E265" t="s">
        <v>13</v>
      </c>
      <c r="F265" s="4">
        <v>945</v>
      </c>
      <c r="G265" s="5">
        <v>75</v>
      </c>
      <c r="H265">
        <f>_xlfn.XLOOKUP(data[[#This Row],[Product]],products[Product],products[Cost per unit])</f>
        <v>9.33</v>
      </c>
      <c r="I265">
        <f>data[[#This Row],[Units]]*data[[#This Row],[Cost per unit]]</f>
        <v>699.75</v>
      </c>
      <c r="J265" s="4">
        <f>data[[#This Row],[Amount]]-data[[#This Row],[Cost]]</f>
        <v>245.25</v>
      </c>
    </row>
    <row r="266" spans="3:10" x14ac:dyDescent="0.3">
      <c r="C266" t="s">
        <v>6</v>
      </c>
      <c r="D266" t="s">
        <v>38</v>
      </c>
      <c r="E266" t="s">
        <v>16</v>
      </c>
      <c r="F266" s="4">
        <v>938</v>
      </c>
      <c r="G266" s="5">
        <v>6</v>
      </c>
      <c r="H266">
        <f>_xlfn.XLOOKUP(data[[#This Row],[Product]],products[Product],products[Cost per unit])</f>
        <v>8.7899999999999991</v>
      </c>
      <c r="I266">
        <f>data[[#This Row],[Units]]*data[[#This Row],[Cost per unit]]</f>
        <v>52.739999999999995</v>
      </c>
      <c r="J266" s="4">
        <f>data[[#This Row],[Amount]]-data[[#This Row],[Cost]]</f>
        <v>885.26</v>
      </c>
    </row>
    <row r="267" spans="3:10" x14ac:dyDescent="0.3">
      <c r="C267" t="s">
        <v>9</v>
      </c>
      <c r="D267" t="s">
        <v>34</v>
      </c>
      <c r="E267" t="s">
        <v>16</v>
      </c>
      <c r="F267" s="4">
        <v>938</v>
      </c>
      <c r="G267" s="5">
        <v>189</v>
      </c>
      <c r="H267">
        <f>_xlfn.XLOOKUP(data[[#This Row],[Product]],products[Product],products[Cost per unit])</f>
        <v>8.7899999999999991</v>
      </c>
      <c r="I267">
        <f>data[[#This Row],[Units]]*data[[#This Row],[Cost per unit]]</f>
        <v>1661.31</v>
      </c>
      <c r="J267" s="4">
        <f>data[[#This Row],[Amount]]-data[[#This Row],[Cost]]</f>
        <v>-723.31</v>
      </c>
    </row>
    <row r="268" spans="3:10" x14ac:dyDescent="0.3">
      <c r="C268" t="s">
        <v>3</v>
      </c>
      <c r="D268" t="s">
        <v>37</v>
      </c>
      <c r="E268" t="s">
        <v>4</v>
      </c>
      <c r="F268" s="4">
        <v>938</v>
      </c>
      <c r="G268" s="5">
        <v>366</v>
      </c>
      <c r="H268">
        <f>_xlfn.XLOOKUP(data[[#This Row],[Product]],products[Product],products[Cost per unit])</f>
        <v>11.88</v>
      </c>
      <c r="I268">
        <f>data[[#This Row],[Units]]*data[[#This Row],[Cost per unit]]</f>
        <v>4348.08</v>
      </c>
      <c r="J268" s="4">
        <f>data[[#This Row],[Amount]]-data[[#This Row],[Cost]]</f>
        <v>-3410.08</v>
      </c>
    </row>
    <row r="269" spans="3:10" x14ac:dyDescent="0.3">
      <c r="C269" t="s">
        <v>5</v>
      </c>
      <c r="D269" t="s">
        <v>34</v>
      </c>
      <c r="E269" t="s">
        <v>19</v>
      </c>
      <c r="F269" s="4">
        <v>861</v>
      </c>
      <c r="G269" s="5">
        <v>195</v>
      </c>
      <c r="H269">
        <f>_xlfn.XLOOKUP(data[[#This Row],[Product]],products[Product],products[Cost per unit])</f>
        <v>7.64</v>
      </c>
      <c r="I269">
        <f>data[[#This Row],[Units]]*data[[#This Row],[Cost per unit]]</f>
        <v>1489.8</v>
      </c>
      <c r="J269" s="4">
        <f>data[[#This Row],[Amount]]-data[[#This Row],[Cost]]</f>
        <v>-628.79999999999995</v>
      </c>
    </row>
    <row r="270" spans="3:10" x14ac:dyDescent="0.3">
      <c r="C270" t="s">
        <v>41</v>
      </c>
      <c r="D270" t="s">
        <v>36</v>
      </c>
      <c r="E270" t="s">
        <v>28</v>
      </c>
      <c r="F270" s="4">
        <v>854</v>
      </c>
      <c r="G270" s="5">
        <v>309</v>
      </c>
      <c r="H270">
        <f>_xlfn.XLOOKUP(data[[#This Row],[Product]],products[Product],products[Cost per unit])</f>
        <v>10.38</v>
      </c>
      <c r="I270">
        <f>data[[#This Row],[Units]]*data[[#This Row],[Cost per unit]]</f>
        <v>3207.42</v>
      </c>
      <c r="J270" s="4">
        <f>data[[#This Row],[Amount]]-data[[#This Row],[Cost]]</f>
        <v>-2353.42</v>
      </c>
    </row>
    <row r="271" spans="3:10" x14ac:dyDescent="0.3">
      <c r="C271" t="s">
        <v>41</v>
      </c>
      <c r="D271" t="s">
        <v>35</v>
      </c>
      <c r="E271" t="s">
        <v>27</v>
      </c>
      <c r="F271" s="4">
        <v>847</v>
      </c>
      <c r="G271" s="5">
        <v>129</v>
      </c>
      <c r="H271">
        <f>_xlfn.XLOOKUP(data[[#This Row],[Product]],products[Product],products[Cost per unit])</f>
        <v>16.73</v>
      </c>
      <c r="I271">
        <f>data[[#This Row],[Units]]*data[[#This Row],[Cost per unit]]</f>
        <v>2158.17</v>
      </c>
      <c r="J271" s="4">
        <f>data[[#This Row],[Amount]]-data[[#This Row],[Cost]]</f>
        <v>-1311.17</v>
      </c>
    </row>
    <row r="272" spans="3:10" x14ac:dyDescent="0.3">
      <c r="C272" t="s">
        <v>8</v>
      </c>
      <c r="D272" t="s">
        <v>38</v>
      </c>
      <c r="E272" t="s">
        <v>13</v>
      </c>
      <c r="F272" s="4">
        <v>819</v>
      </c>
      <c r="G272" s="5">
        <v>510</v>
      </c>
      <c r="H272">
        <f>_xlfn.XLOOKUP(data[[#This Row],[Product]],products[Product],products[Cost per unit])</f>
        <v>9.33</v>
      </c>
      <c r="I272">
        <f>data[[#This Row],[Units]]*data[[#This Row],[Cost per unit]]</f>
        <v>4758.3</v>
      </c>
      <c r="J272" s="4">
        <f>data[[#This Row],[Amount]]-data[[#This Row],[Cost]]</f>
        <v>-3939.3</v>
      </c>
    </row>
    <row r="273" spans="3:10" x14ac:dyDescent="0.3">
      <c r="C273" t="s">
        <v>3</v>
      </c>
      <c r="D273" t="s">
        <v>35</v>
      </c>
      <c r="E273" t="s">
        <v>33</v>
      </c>
      <c r="F273" s="4">
        <v>819</v>
      </c>
      <c r="G273" s="5">
        <v>306</v>
      </c>
      <c r="H273">
        <f>_xlfn.XLOOKUP(data[[#This Row],[Product]],products[Product],products[Cost per unit])</f>
        <v>12.37</v>
      </c>
      <c r="I273">
        <f>data[[#This Row],[Units]]*data[[#This Row],[Cost per unit]]</f>
        <v>3785.22</v>
      </c>
      <c r="J273" s="4">
        <f>data[[#This Row],[Amount]]-data[[#This Row],[Cost]]</f>
        <v>-2966.22</v>
      </c>
    </row>
    <row r="274" spans="3:10" x14ac:dyDescent="0.3">
      <c r="C274" t="s">
        <v>2</v>
      </c>
      <c r="D274" t="s">
        <v>36</v>
      </c>
      <c r="E274" t="s">
        <v>27</v>
      </c>
      <c r="F274" s="4">
        <v>798</v>
      </c>
      <c r="G274" s="5">
        <v>519</v>
      </c>
      <c r="H274">
        <f>_xlfn.XLOOKUP(data[[#This Row],[Product]],products[Product],products[Cost per unit])</f>
        <v>16.73</v>
      </c>
      <c r="I274">
        <f>data[[#This Row],[Units]]*data[[#This Row],[Cost per unit]]</f>
        <v>8682.8700000000008</v>
      </c>
      <c r="J274" s="4">
        <f>data[[#This Row],[Amount]]-data[[#This Row],[Cost]]</f>
        <v>-7884.8700000000008</v>
      </c>
    </row>
    <row r="275" spans="3:10" x14ac:dyDescent="0.3">
      <c r="C275" t="s">
        <v>41</v>
      </c>
      <c r="D275" t="s">
        <v>37</v>
      </c>
      <c r="E275" t="s">
        <v>15</v>
      </c>
      <c r="F275" s="4">
        <v>714</v>
      </c>
      <c r="G275" s="5">
        <v>231</v>
      </c>
      <c r="H275">
        <f>_xlfn.XLOOKUP(data[[#This Row],[Product]],products[Product],products[Cost per unit])</f>
        <v>11.73</v>
      </c>
      <c r="I275">
        <f>data[[#This Row],[Units]]*data[[#This Row],[Cost per unit]]</f>
        <v>2709.63</v>
      </c>
      <c r="J275" s="4">
        <f>data[[#This Row],[Amount]]-data[[#This Row],[Cost]]</f>
        <v>-1995.63</v>
      </c>
    </row>
    <row r="276" spans="3:10" x14ac:dyDescent="0.3">
      <c r="C276" t="s">
        <v>9</v>
      </c>
      <c r="D276" t="s">
        <v>34</v>
      </c>
      <c r="E276" t="s">
        <v>17</v>
      </c>
      <c r="F276" s="4">
        <v>707</v>
      </c>
      <c r="G276" s="5">
        <v>174</v>
      </c>
      <c r="H276">
        <f>_xlfn.XLOOKUP(data[[#This Row],[Product]],products[Product],products[Cost per unit])</f>
        <v>3.11</v>
      </c>
      <c r="I276">
        <f>data[[#This Row],[Units]]*data[[#This Row],[Cost per unit]]</f>
        <v>541.14</v>
      </c>
      <c r="J276" s="4">
        <f>data[[#This Row],[Amount]]-data[[#This Row],[Cost]]</f>
        <v>165.86</v>
      </c>
    </row>
    <row r="277" spans="3:10" x14ac:dyDescent="0.3">
      <c r="C277" t="s">
        <v>10</v>
      </c>
      <c r="D277" t="s">
        <v>34</v>
      </c>
      <c r="E277" t="s">
        <v>17</v>
      </c>
      <c r="F277" s="4">
        <v>700</v>
      </c>
      <c r="G277" s="5">
        <v>87</v>
      </c>
      <c r="H277">
        <f>_xlfn.XLOOKUP(data[[#This Row],[Product]],products[Product],products[Cost per unit])</f>
        <v>3.11</v>
      </c>
      <c r="I277">
        <f>data[[#This Row],[Units]]*data[[#This Row],[Cost per unit]]</f>
        <v>270.57</v>
      </c>
      <c r="J277" s="4">
        <f>data[[#This Row],[Amount]]-data[[#This Row],[Cost]]</f>
        <v>429.43</v>
      </c>
    </row>
    <row r="278" spans="3:10" x14ac:dyDescent="0.3">
      <c r="C278" t="s">
        <v>2</v>
      </c>
      <c r="D278" t="s">
        <v>39</v>
      </c>
      <c r="E278" t="s">
        <v>23</v>
      </c>
      <c r="F278" s="4">
        <v>630</v>
      </c>
      <c r="G278" s="5">
        <v>36</v>
      </c>
      <c r="H278">
        <f>_xlfn.XLOOKUP(data[[#This Row],[Product]],products[Product],products[Cost per unit])</f>
        <v>6.49</v>
      </c>
      <c r="I278">
        <f>data[[#This Row],[Units]]*data[[#This Row],[Cost per unit]]</f>
        <v>233.64000000000001</v>
      </c>
      <c r="J278" s="4">
        <f>data[[#This Row],[Amount]]-data[[#This Row],[Cost]]</f>
        <v>396.36</v>
      </c>
    </row>
    <row r="279" spans="3:10" x14ac:dyDescent="0.3">
      <c r="C279" t="s">
        <v>40</v>
      </c>
      <c r="D279" t="s">
        <v>38</v>
      </c>
      <c r="E279" t="s">
        <v>24</v>
      </c>
      <c r="F279" s="4">
        <v>623</v>
      </c>
      <c r="G279" s="5">
        <v>51</v>
      </c>
      <c r="H279">
        <f>_xlfn.XLOOKUP(data[[#This Row],[Product]],products[Product],products[Cost per unit])</f>
        <v>4.97</v>
      </c>
      <c r="I279">
        <f>data[[#This Row],[Units]]*data[[#This Row],[Cost per unit]]</f>
        <v>253.47</v>
      </c>
      <c r="J279" s="4">
        <f>data[[#This Row],[Amount]]-data[[#This Row],[Cost]]</f>
        <v>369.53</v>
      </c>
    </row>
    <row r="280" spans="3:10" x14ac:dyDescent="0.3">
      <c r="C280" t="s">
        <v>40</v>
      </c>
      <c r="D280" t="s">
        <v>38</v>
      </c>
      <c r="E280" t="s">
        <v>26</v>
      </c>
      <c r="F280" s="4">
        <v>609</v>
      </c>
      <c r="G280" s="5">
        <v>87</v>
      </c>
      <c r="H280">
        <f>_xlfn.XLOOKUP(data[[#This Row],[Product]],products[Product],products[Cost per unit])</f>
        <v>5.6</v>
      </c>
      <c r="I280">
        <f>data[[#This Row],[Units]]*data[[#This Row],[Cost per unit]]</f>
        <v>487.2</v>
      </c>
      <c r="J280" s="4">
        <f>data[[#This Row],[Amount]]-data[[#This Row],[Cost]]</f>
        <v>121.80000000000001</v>
      </c>
    </row>
    <row r="281" spans="3:10" x14ac:dyDescent="0.3">
      <c r="C281" t="s">
        <v>41</v>
      </c>
      <c r="D281" t="s">
        <v>35</v>
      </c>
      <c r="E281" t="s">
        <v>19</v>
      </c>
      <c r="F281" s="4">
        <v>609</v>
      </c>
      <c r="G281" s="5">
        <v>99</v>
      </c>
      <c r="H281">
        <f>_xlfn.XLOOKUP(data[[#This Row],[Product]],products[Product],products[Cost per unit])</f>
        <v>7.64</v>
      </c>
      <c r="I281">
        <f>data[[#This Row],[Units]]*data[[#This Row],[Cost per unit]]</f>
        <v>756.36</v>
      </c>
      <c r="J281" s="4">
        <f>data[[#This Row],[Amount]]-data[[#This Row],[Cost]]</f>
        <v>-147.36000000000001</v>
      </c>
    </row>
    <row r="282" spans="3:10" x14ac:dyDescent="0.3">
      <c r="C282" t="s">
        <v>10</v>
      </c>
      <c r="D282" t="s">
        <v>35</v>
      </c>
      <c r="E282" t="s">
        <v>21</v>
      </c>
      <c r="F282" s="4">
        <v>567</v>
      </c>
      <c r="G282" s="5">
        <v>228</v>
      </c>
      <c r="H282">
        <f>_xlfn.XLOOKUP(data[[#This Row],[Product]],products[Product],products[Cost per unit])</f>
        <v>9</v>
      </c>
      <c r="I282">
        <f>data[[#This Row],[Units]]*data[[#This Row],[Cost per unit]]</f>
        <v>2052</v>
      </c>
      <c r="J282" s="4">
        <f>data[[#This Row],[Amount]]-data[[#This Row],[Cost]]</f>
        <v>-1485</v>
      </c>
    </row>
    <row r="283" spans="3:10" x14ac:dyDescent="0.3">
      <c r="C283" t="s">
        <v>6</v>
      </c>
      <c r="D283" t="s">
        <v>37</v>
      </c>
      <c r="E283" t="s">
        <v>30</v>
      </c>
      <c r="F283" s="4">
        <v>560</v>
      </c>
      <c r="G283" s="5">
        <v>81</v>
      </c>
      <c r="H283">
        <f>_xlfn.XLOOKUP(data[[#This Row],[Product]],products[Product],products[Cost per unit])</f>
        <v>14.49</v>
      </c>
      <c r="I283">
        <f>data[[#This Row],[Units]]*data[[#This Row],[Cost per unit]]</f>
        <v>1173.69</v>
      </c>
      <c r="J283" s="4">
        <f>data[[#This Row],[Amount]]-data[[#This Row],[Cost]]</f>
        <v>-613.69000000000005</v>
      </c>
    </row>
    <row r="284" spans="3:10" x14ac:dyDescent="0.3">
      <c r="C284" t="s">
        <v>2</v>
      </c>
      <c r="D284" t="s">
        <v>35</v>
      </c>
      <c r="E284" t="s">
        <v>19</v>
      </c>
      <c r="F284" s="4">
        <v>553</v>
      </c>
      <c r="G284" s="5">
        <v>15</v>
      </c>
      <c r="H284">
        <f>_xlfn.XLOOKUP(data[[#This Row],[Product]],products[Product],products[Cost per unit])</f>
        <v>7.64</v>
      </c>
      <c r="I284">
        <f>data[[#This Row],[Units]]*data[[#This Row],[Cost per unit]]</f>
        <v>114.6</v>
      </c>
      <c r="J284" s="4">
        <f>data[[#This Row],[Amount]]-data[[#This Row],[Cost]]</f>
        <v>438.4</v>
      </c>
    </row>
    <row r="285" spans="3:10" x14ac:dyDescent="0.3">
      <c r="C285" t="s">
        <v>6</v>
      </c>
      <c r="D285" t="s">
        <v>34</v>
      </c>
      <c r="E285" t="s">
        <v>4</v>
      </c>
      <c r="F285" s="4">
        <v>525</v>
      </c>
      <c r="G285" s="5">
        <v>48</v>
      </c>
      <c r="H285">
        <f>_xlfn.XLOOKUP(data[[#This Row],[Product]],products[Product],products[Cost per unit])</f>
        <v>11.88</v>
      </c>
      <c r="I285">
        <f>data[[#This Row],[Units]]*data[[#This Row],[Cost per unit]]</f>
        <v>570.24</v>
      </c>
      <c r="J285" s="4">
        <f>data[[#This Row],[Amount]]-data[[#This Row],[Cost]]</f>
        <v>-45.240000000000009</v>
      </c>
    </row>
    <row r="286" spans="3:10" x14ac:dyDescent="0.3">
      <c r="C286" t="s">
        <v>5</v>
      </c>
      <c r="D286" t="s">
        <v>37</v>
      </c>
      <c r="E286" t="s">
        <v>22</v>
      </c>
      <c r="F286" s="4">
        <v>518</v>
      </c>
      <c r="G286" s="5">
        <v>75</v>
      </c>
      <c r="H286">
        <f>_xlfn.XLOOKUP(data[[#This Row],[Product]],products[Product],products[Cost per unit])</f>
        <v>9.77</v>
      </c>
      <c r="I286">
        <f>data[[#This Row],[Units]]*data[[#This Row],[Cost per unit]]</f>
        <v>732.75</v>
      </c>
      <c r="J286" s="4">
        <f>data[[#This Row],[Amount]]-data[[#This Row],[Cost]]</f>
        <v>-214.75</v>
      </c>
    </row>
    <row r="287" spans="3:10" x14ac:dyDescent="0.3">
      <c r="C287" t="s">
        <v>6</v>
      </c>
      <c r="D287" t="s">
        <v>36</v>
      </c>
      <c r="E287" t="s">
        <v>21</v>
      </c>
      <c r="F287" s="4">
        <v>497</v>
      </c>
      <c r="G287" s="5">
        <v>63</v>
      </c>
      <c r="H287">
        <f>_xlfn.XLOOKUP(data[[#This Row],[Product]],products[Product],products[Cost per unit])</f>
        <v>9</v>
      </c>
      <c r="I287">
        <f>data[[#This Row],[Units]]*data[[#This Row],[Cost per unit]]</f>
        <v>567</v>
      </c>
      <c r="J287" s="4">
        <f>data[[#This Row],[Amount]]-data[[#This Row],[Cost]]</f>
        <v>-70</v>
      </c>
    </row>
    <row r="288" spans="3:10" x14ac:dyDescent="0.3">
      <c r="C288" t="s">
        <v>5</v>
      </c>
      <c r="D288" t="s">
        <v>35</v>
      </c>
      <c r="E288" t="s">
        <v>22</v>
      </c>
      <c r="F288" s="4">
        <v>490</v>
      </c>
      <c r="G288" s="5">
        <v>84</v>
      </c>
      <c r="H288">
        <f>_xlfn.XLOOKUP(data[[#This Row],[Product]],products[Product],products[Cost per unit])</f>
        <v>9.77</v>
      </c>
      <c r="I288">
        <f>data[[#This Row],[Units]]*data[[#This Row],[Cost per unit]]</f>
        <v>820.68</v>
      </c>
      <c r="J288" s="4">
        <f>data[[#This Row],[Amount]]-data[[#This Row],[Cost]]</f>
        <v>-330.67999999999995</v>
      </c>
    </row>
    <row r="289" spans="3:10" x14ac:dyDescent="0.3">
      <c r="C289" t="s">
        <v>6</v>
      </c>
      <c r="D289" t="s">
        <v>38</v>
      </c>
      <c r="E289" t="s">
        <v>25</v>
      </c>
      <c r="F289" s="4">
        <v>469</v>
      </c>
      <c r="G289" s="5">
        <v>75</v>
      </c>
      <c r="H289">
        <f>_xlfn.XLOOKUP(data[[#This Row],[Product]],products[Product],products[Cost per unit])</f>
        <v>13.15</v>
      </c>
      <c r="I289">
        <f>data[[#This Row],[Units]]*data[[#This Row],[Cost per unit]]</f>
        <v>986.25</v>
      </c>
      <c r="J289" s="4">
        <f>data[[#This Row],[Amount]]-data[[#This Row],[Cost]]</f>
        <v>-517.25</v>
      </c>
    </row>
    <row r="290" spans="3:10" x14ac:dyDescent="0.3">
      <c r="C290" t="s">
        <v>8</v>
      </c>
      <c r="D290" t="s">
        <v>37</v>
      </c>
      <c r="E290" t="s">
        <v>21</v>
      </c>
      <c r="F290" s="4">
        <v>434</v>
      </c>
      <c r="G290" s="5">
        <v>87</v>
      </c>
      <c r="H290">
        <f>_xlfn.XLOOKUP(data[[#This Row],[Product]],products[Product],products[Cost per unit])</f>
        <v>9</v>
      </c>
      <c r="I290">
        <f>data[[#This Row],[Units]]*data[[#This Row],[Cost per unit]]</f>
        <v>783</v>
      </c>
      <c r="J290" s="4">
        <f>data[[#This Row],[Amount]]-data[[#This Row],[Cost]]</f>
        <v>-349</v>
      </c>
    </row>
    <row r="291" spans="3:10" x14ac:dyDescent="0.3">
      <c r="C291" t="s">
        <v>5</v>
      </c>
      <c r="D291" t="s">
        <v>39</v>
      </c>
      <c r="E291" t="s">
        <v>18</v>
      </c>
      <c r="F291" s="4">
        <v>385</v>
      </c>
      <c r="G291" s="5">
        <v>249</v>
      </c>
      <c r="H291">
        <f>_xlfn.XLOOKUP(data[[#This Row],[Product]],products[Product],products[Cost per unit])</f>
        <v>6.47</v>
      </c>
      <c r="I291">
        <f>data[[#This Row],[Units]]*data[[#This Row],[Cost per unit]]</f>
        <v>1611.03</v>
      </c>
      <c r="J291" s="4">
        <f>data[[#This Row],[Amount]]-data[[#This Row],[Cost]]</f>
        <v>-1226.03</v>
      </c>
    </row>
    <row r="292" spans="3:10" x14ac:dyDescent="0.3">
      <c r="C292" t="s">
        <v>8</v>
      </c>
      <c r="D292" t="s">
        <v>35</v>
      </c>
      <c r="E292" t="s">
        <v>33</v>
      </c>
      <c r="F292" s="4">
        <v>357</v>
      </c>
      <c r="G292" s="5">
        <v>126</v>
      </c>
      <c r="H292">
        <f>_xlfn.XLOOKUP(data[[#This Row],[Product]],products[Product],products[Cost per unit])</f>
        <v>12.37</v>
      </c>
      <c r="I292">
        <f>data[[#This Row],[Units]]*data[[#This Row],[Cost per unit]]</f>
        <v>1558.62</v>
      </c>
      <c r="J292" s="4">
        <f>data[[#This Row],[Amount]]-data[[#This Row],[Cost]]</f>
        <v>-1201.6199999999999</v>
      </c>
    </row>
    <row r="293" spans="3:10" x14ac:dyDescent="0.3">
      <c r="C293" t="s">
        <v>41</v>
      </c>
      <c r="D293" t="s">
        <v>34</v>
      </c>
      <c r="E293" t="s">
        <v>22</v>
      </c>
      <c r="F293" s="4">
        <v>336</v>
      </c>
      <c r="G293" s="5">
        <v>144</v>
      </c>
      <c r="H293">
        <f>_xlfn.XLOOKUP(data[[#This Row],[Product]],products[Product],products[Cost per unit])</f>
        <v>9.77</v>
      </c>
      <c r="I293">
        <f>data[[#This Row],[Units]]*data[[#This Row],[Cost per unit]]</f>
        <v>1406.8799999999999</v>
      </c>
      <c r="J293" s="4">
        <f>data[[#This Row],[Amount]]-data[[#This Row],[Cost]]</f>
        <v>-1070.8799999999999</v>
      </c>
    </row>
    <row r="294" spans="3:10" x14ac:dyDescent="0.3">
      <c r="C294" t="s">
        <v>7</v>
      </c>
      <c r="D294" t="s">
        <v>36</v>
      </c>
      <c r="E294" t="s">
        <v>32</v>
      </c>
      <c r="F294" s="4">
        <v>280</v>
      </c>
      <c r="G294" s="5">
        <v>87</v>
      </c>
      <c r="H294">
        <f>_xlfn.XLOOKUP(data[[#This Row],[Product]],products[Product],products[Cost per unit])</f>
        <v>8.65</v>
      </c>
      <c r="I294">
        <f>data[[#This Row],[Units]]*data[[#This Row],[Cost per unit]]</f>
        <v>752.55000000000007</v>
      </c>
      <c r="J294" s="4">
        <f>data[[#This Row],[Amount]]-data[[#This Row],[Cost]]</f>
        <v>-472.55000000000007</v>
      </c>
    </row>
    <row r="295" spans="3:10" x14ac:dyDescent="0.3">
      <c r="C295" t="s">
        <v>9</v>
      </c>
      <c r="D295" t="s">
        <v>37</v>
      </c>
      <c r="E295" t="s">
        <v>4</v>
      </c>
      <c r="F295" s="4">
        <v>259</v>
      </c>
      <c r="G295" s="5">
        <v>207</v>
      </c>
      <c r="H295">
        <f>_xlfn.XLOOKUP(data[[#This Row],[Product]],products[Product],products[Cost per unit])</f>
        <v>11.88</v>
      </c>
      <c r="I295">
        <f>data[[#This Row],[Units]]*data[[#This Row],[Cost per unit]]</f>
        <v>2459.1600000000003</v>
      </c>
      <c r="J295" s="4">
        <f>data[[#This Row],[Amount]]-data[[#This Row],[Cost]]</f>
        <v>-2200.1600000000003</v>
      </c>
    </row>
    <row r="296" spans="3:10" x14ac:dyDescent="0.3">
      <c r="C296" t="s">
        <v>2</v>
      </c>
      <c r="D296" t="s">
        <v>34</v>
      </c>
      <c r="E296" t="s">
        <v>13</v>
      </c>
      <c r="F296" s="4">
        <v>252</v>
      </c>
      <c r="G296" s="5">
        <v>54</v>
      </c>
      <c r="H296">
        <f>_xlfn.XLOOKUP(data[[#This Row],[Product]],products[Product],products[Cost per unit])</f>
        <v>9.33</v>
      </c>
      <c r="I296">
        <f>data[[#This Row],[Units]]*data[[#This Row],[Cost per unit]]</f>
        <v>503.82</v>
      </c>
      <c r="J296" s="4">
        <f>data[[#This Row],[Amount]]-data[[#This Row],[Cost]]</f>
        <v>-251.82</v>
      </c>
    </row>
    <row r="297" spans="3:10" x14ac:dyDescent="0.3">
      <c r="C297" t="s">
        <v>10</v>
      </c>
      <c r="D297" t="s">
        <v>37</v>
      </c>
      <c r="E297" t="s">
        <v>21</v>
      </c>
      <c r="F297" s="4">
        <v>245</v>
      </c>
      <c r="G297" s="5">
        <v>288</v>
      </c>
      <c r="H297">
        <f>_xlfn.XLOOKUP(data[[#This Row],[Product]],products[Product],products[Cost per unit])</f>
        <v>9</v>
      </c>
      <c r="I297">
        <f>data[[#This Row],[Units]]*data[[#This Row],[Cost per unit]]</f>
        <v>2592</v>
      </c>
      <c r="J297" s="4">
        <f>data[[#This Row],[Amount]]-data[[#This Row],[Cost]]</f>
        <v>-2347</v>
      </c>
    </row>
    <row r="298" spans="3:10" x14ac:dyDescent="0.3">
      <c r="C298" t="s">
        <v>2</v>
      </c>
      <c r="D298" t="s">
        <v>37</v>
      </c>
      <c r="E298" t="s">
        <v>19</v>
      </c>
      <c r="F298" s="4">
        <v>238</v>
      </c>
      <c r="G298" s="5">
        <v>18</v>
      </c>
      <c r="H298">
        <f>_xlfn.XLOOKUP(data[[#This Row],[Product]],products[Product],products[Cost per unit])</f>
        <v>7.64</v>
      </c>
      <c r="I298">
        <f>data[[#This Row],[Units]]*data[[#This Row],[Cost per unit]]</f>
        <v>137.51999999999998</v>
      </c>
      <c r="J298" s="4">
        <f>data[[#This Row],[Amount]]-data[[#This Row],[Cost]]</f>
        <v>100.48000000000002</v>
      </c>
    </row>
    <row r="299" spans="3:10" x14ac:dyDescent="0.3">
      <c r="C299" t="s">
        <v>40</v>
      </c>
      <c r="D299" t="s">
        <v>36</v>
      </c>
      <c r="E299" t="s">
        <v>4</v>
      </c>
      <c r="F299" s="4">
        <v>217</v>
      </c>
      <c r="G299" s="5">
        <v>36</v>
      </c>
      <c r="H299">
        <f>_xlfn.XLOOKUP(data[[#This Row],[Product]],products[Product],products[Cost per unit])</f>
        <v>11.88</v>
      </c>
      <c r="I299">
        <f>data[[#This Row],[Units]]*data[[#This Row],[Cost per unit]]</f>
        <v>427.68</v>
      </c>
      <c r="J299" s="4">
        <f>data[[#This Row],[Amount]]-data[[#This Row],[Cost]]</f>
        <v>-210.68</v>
      </c>
    </row>
    <row r="300" spans="3:10" x14ac:dyDescent="0.3">
      <c r="C300" t="s">
        <v>2</v>
      </c>
      <c r="D300" t="s">
        <v>36</v>
      </c>
      <c r="E300" t="s">
        <v>17</v>
      </c>
      <c r="F300" s="4">
        <v>189</v>
      </c>
      <c r="G300" s="5">
        <v>48</v>
      </c>
      <c r="H300">
        <f>_xlfn.XLOOKUP(data[[#This Row],[Product]],products[Product],products[Cost per unit])</f>
        <v>3.11</v>
      </c>
      <c r="I300">
        <f>data[[#This Row],[Units]]*data[[#This Row],[Cost per unit]]</f>
        <v>149.28</v>
      </c>
      <c r="J300" s="4">
        <f>data[[#This Row],[Amount]]-data[[#This Row],[Cost]]</f>
        <v>39.72</v>
      </c>
    </row>
    <row r="301" spans="3:10" x14ac:dyDescent="0.3">
      <c r="C301" t="s">
        <v>5</v>
      </c>
      <c r="D301" t="s">
        <v>37</v>
      </c>
      <c r="E301" t="s">
        <v>31</v>
      </c>
      <c r="F301" s="4">
        <v>182</v>
      </c>
      <c r="G301" s="5">
        <v>48</v>
      </c>
      <c r="H301">
        <f>_xlfn.XLOOKUP(data[[#This Row],[Product]],products[Product],products[Cost per unit])</f>
        <v>5.79</v>
      </c>
      <c r="I301">
        <f>data[[#This Row],[Units]]*data[[#This Row],[Cost per unit]]</f>
        <v>277.92</v>
      </c>
      <c r="J301" s="4">
        <f>data[[#This Row],[Amount]]-data[[#This Row],[Cost]]</f>
        <v>-95.920000000000016</v>
      </c>
    </row>
    <row r="302" spans="3:10" x14ac:dyDescent="0.3">
      <c r="C302" t="s">
        <v>8</v>
      </c>
      <c r="D302" t="s">
        <v>38</v>
      </c>
      <c r="E302" t="s">
        <v>22</v>
      </c>
      <c r="F302" s="4">
        <v>168</v>
      </c>
      <c r="G302" s="5">
        <v>84</v>
      </c>
      <c r="H302">
        <f>_xlfn.XLOOKUP(data[[#This Row],[Product]],products[Product],products[Cost per unit])</f>
        <v>9.77</v>
      </c>
      <c r="I302">
        <f>data[[#This Row],[Units]]*data[[#This Row],[Cost per unit]]</f>
        <v>820.68</v>
      </c>
      <c r="J302" s="4">
        <f>data[[#This Row],[Amount]]-data[[#This Row],[Cost]]</f>
        <v>-652.67999999999995</v>
      </c>
    </row>
    <row r="303" spans="3:10" x14ac:dyDescent="0.3">
      <c r="C303" t="s">
        <v>41</v>
      </c>
      <c r="D303" t="s">
        <v>38</v>
      </c>
      <c r="E303" t="s">
        <v>25</v>
      </c>
      <c r="F303" s="4">
        <v>154</v>
      </c>
      <c r="G303" s="5">
        <v>21</v>
      </c>
      <c r="H303">
        <f>_xlfn.XLOOKUP(data[[#This Row],[Product]],products[Product],products[Cost per unit])</f>
        <v>13.15</v>
      </c>
      <c r="I303">
        <f>data[[#This Row],[Units]]*data[[#This Row],[Cost per unit]]</f>
        <v>276.15000000000003</v>
      </c>
      <c r="J303" s="4">
        <f>data[[#This Row],[Amount]]-data[[#This Row],[Cost]]</f>
        <v>-122.15000000000003</v>
      </c>
    </row>
    <row r="304" spans="3:10" x14ac:dyDescent="0.3">
      <c r="C304" t="s">
        <v>9</v>
      </c>
      <c r="D304" t="s">
        <v>35</v>
      </c>
      <c r="E304" t="s">
        <v>26</v>
      </c>
      <c r="F304" s="4">
        <v>98</v>
      </c>
      <c r="G304" s="5">
        <v>159</v>
      </c>
      <c r="H304">
        <f>_xlfn.XLOOKUP(data[[#This Row],[Product]],products[Product],products[Cost per unit])</f>
        <v>5.6</v>
      </c>
      <c r="I304">
        <f>data[[#This Row],[Units]]*data[[#This Row],[Cost per unit]]</f>
        <v>890.4</v>
      </c>
      <c r="J304" s="4">
        <f>data[[#This Row],[Amount]]-data[[#This Row],[Cost]]</f>
        <v>-792.4</v>
      </c>
    </row>
    <row r="305" spans="3:10" x14ac:dyDescent="0.3">
      <c r="C305" t="s">
        <v>41</v>
      </c>
      <c r="D305" t="s">
        <v>36</v>
      </c>
      <c r="E305" t="s">
        <v>26</v>
      </c>
      <c r="F305" s="4">
        <v>98</v>
      </c>
      <c r="G305" s="5">
        <v>204</v>
      </c>
      <c r="H305">
        <f>_xlfn.XLOOKUP(data[[#This Row],[Product]],products[Product],products[Cost per unit])</f>
        <v>5.6</v>
      </c>
      <c r="I305">
        <f>data[[#This Row],[Units]]*data[[#This Row],[Cost per unit]]</f>
        <v>1142.3999999999999</v>
      </c>
      <c r="J305" s="4">
        <f>data[[#This Row],[Amount]]-data[[#This Row],[Cost]]</f>
        <v>-1044.3999999999999</v>
      </c>
    </row>
    <row r="306" spans="3:10" x14ac:dyDescent="0.3">
      <c r="C306" t="s">
        <v>10</v>
      </c>
      <c r="D306" t="s">
        <v>38</v>
      </c>
      <c r="E306" t="s">
        <v>13</v>
      </c>
      <c r="F306" s="4">
        <v>63</v>
      </c>
      <c r="G306" s="5">
        <v>123</v>
      </c>
      <c r="H306">
        <f>_xlfn.XLOOKUP(data[[#This Row],[Product]],products[Product],products[Cost per unit])</f>
        <v>9.33</v>
      </c>
      <c r="I306">
        <f>data[[#This Row],[Units]]*data[[#This Row],[Cost per unit]]</f>
        <v>1147.5899999999999</v>
      </c>
      <c r="J306" s="4">
        <f>data[[#This Row],[Amount]]-data[[#This Row],[Cost]]</f>
        <v>-1084.5899999999999</v>
      </c>
    </row>
    <row r="307" spans="3:10" x14ac:dyDescent="0.3">
      <c r="C307" t="s">
        <v>2</v>
      </c>
      <c r="D307" t="s">
        <v>38</v>
      </c>
      <c r="E307" t="s">
        <v>13</v>
      </c>
      <c r="F307" s="4">
        <v>56</v>
      </c>
      <c r="G307" s="5">
        <v>51</v>
      </c>
      <c r="H307">
        <f>_xlfn.XLOOKUP(data[[#This Row],[Product]],products[Product],products[Cost per unit])</f>
        <v>9.33</v>
      </c>
      <c r="I307">
        <f>data[[#This Row],[Units]]*data[[#This Row],[Cost per unit]]</f>
        <v>475.83</v>
      </c>
      <c r="J307" s="4">
        <f>data[[#This Row],[Amount]]-data[[#This Row],[Cost]]</f>
        <v>-419.83</v>
      </c>
    </row>
    <row r="308" spans="3:10" x14ac:dyDescent="0.3">
      <c r="C308" t="s">
        <v>8</v>
      </c>
      <c r="D308" t="s">
        <v>37</v>
      </c>
      <c r="E308" t="s">
        <v>30</v>
      </c>
      <c r="F308" s="4">
        <v>42</v>
      </c>
      <c r="G308" s="5">
        <v>150</v>
      </c>
      <c r="H308">
        <f>_xlfn.XLOOKUP(data[[#This Row],[Product]],products[Product],products[Cost per unit])</f>
        <v>14.49</v>
      </c>
      <c r="I308">
        <f>data[[#This Row],[Units]]*data[[#This Row],[Cost per unit]]</f>
        <v>2173.5</v>
      </c>
      <c r="J308" s="4">
        <f>data[[#This Row],[Amount]]-data[[#This Row],[Cost]]</f>
        <v>-2131.5</v>
      </c>
    </row>
    <row r="309" spans="3:10" x14ac:dyDescent="0.3">
      <c r="C309" t="s">
        <v>3</v>
      </c>
      <c r="D309" t="s">
        <v>39</v>
      </c>
      <c r="E309" t="s">
        <v>16</v>
      </c>
      <c r="F309" s="4">
        <v>21</v>
      </c>
      <c r="G309" s="5">
        <v>168</v>
      </c>
      <c r="H309">
        <f>_xlfn.XLOOKUP(data[[#This Row],[Product]],products[Product],products[Cost per unit])</f>
        <v>8.7899999999999991</v>
      </c>
      <c r="I309">
        <f>data[[#This Row],[Units]]*data[[#This Row],[Cost per unit]]</f>
        <v>1476.7199999999998</v>
      </c>
      <c r="J309" s="4">
        <f>data[[#This Row],[Amount]]-data[[#This Row],[Cost]]</f>
        <v>-1455.7199999999998</v>
      </c>
    </row>
    <row r="310" spans="3:10" x14ac:dyDescent="0.3">
      <c r="C310" t="s">
        <v>40</v>
      </c>
      <c r="D310" t="s">
        <v>39</v>
      </c>
      <c r="E310" t="s">
        <v>29</v>
      </c>
      <c r="F310" s="4">
        <v>0</v>
      </c>
      <c r="G310" s="5">
        <v>135</v>
      </c>
      <c r="H310">
        <f>_xlfn.XLOOKUP(data[[#This Row],[Product]],products[Product],products[Cost per unit])</f>
        <v>7.16</v>
      </c>
      <c r="I310">
        <f>data[[#This Row],[Units]]*data[[#This Row],[Cost per unit]]</f>
        <v>966.6</v>
      </c>
      <c r="J310" s="4">
        <f>data[[#This Row],[Amount]]-data[[#This Row],[Cost]]</f>
        <v>-966.6</v>
      </c>
    </row>
    <row r="312" spans="3:10" x14ac:dyDescent="0.3">
      <c r="F312" s="4"/>
      <c r="G312" s="5"/>
    </row>
    <row r="313" spans="3:10" x14ac:dyDescent="0.3">
      <c r="F313" s="4"/>
      <c r="G313" s="5"/>
    </row>
    <row r="314" spans="3:10" x14ac:dyDescent="0.3">
      <c r="F314" s="4"/>
      <c r="G314" s="5"/>
    </row>
    <row r="315" spans="3:10" x14ac:dyDescent="0.3">
      <c r="F315" s="4"/>
      <c r="G315" s="5"/>
    </row>
    <row r="316" spans="3:10" x14ac:dyDescent="0.3">
      <c r="F316" s="4"/>
      <c r="G316" s="5"/>
    </row>
    <row r="317" spans="3:10" x14ac:dyDescent="0.3">
      <c r="F317" s="4"/>
      <c r="G317" s="5"/>
    </row>
    <row r="318" spans="3:10" x14ac:dyDescent="0.3">
      <c r="F318" s="4"/>
      <c r="G318" s="5"/>
    </row>
    <row r="319" spans="3:10" x14ac:dyDescent="0.3">
      <c r="F319" s="4"/>
      <c r="G319" s="5"/>
    </row>
    <row r="320" spans="3:10" x14ac:dyDescent="0.3">
      <c r="F320" s="4"/>
      <c r="G320" s="5"/>
    </row>
    <row r="321" spans="6:7" x14ac:dyDescent="0.3">
      <c r="F321" s="4"/>
      <c r="G321" s="5"/>
    </row>
    <row r="322" spans="6:7" x14ac:dyDescent="0.3">
      <c r="F322" s="4"/>
      <c r="G322" s="5"/>
    </row>
    <row r="323" spans="6:7" x14ac:dyDescent="0.3">
      <c r="F323" s="4"/>
      <c r="G323" s="5"/>
    </row>
    <row r="324" spans="6:7" x14ac:dyDescent="0.3">
      <c r="F324" s="4"/>
      <c r="G324" s="5"/>
    </row>
    <row r="325" spans="6:7" x14ac:dyDescent="0.3">
      <c r="F325" s="4"/>
      <c r="G325" s="5"/>
    </row>
    <row r="326" spans="6:7" x14ac:dyDescent="0.3">
      <c r="F326" s="4"/>
      <c r="G326" s="5"/>
    </row>
    <row r="327" spans="6:7" x14ac:dyDescent="0.3">
      <c r="F327" s="4"/>
      <c r="G327" s="5"/>
    </row>
    <row r="328" spans="6:7" x14ac:dyDescent="0.3">
      <c r="F328" s="4"/>
      <c r="G328" s="5"/>
    </row>
    <row r="329" spans="6:7" x14ac:dyDescent="0.3">
      <c r="F329" s="4"/>
      <c r="G329" s="5"/>
    </row>
    <row r="330" spans="6:7" x14ac:dyDescent="0.3">
      <c r="F330" s="4"/>
      <c r="G330" s="5"/>
    </row>
    <row r="331" spans="6:7" x14ac:dyDescent="0.3">
      <c r="F331" s="4"/>
      <c r="G331" s="5"/>
    </row>
    <row r="332" spans="6:7" x14ac:dyDescent="0.3">
      <c r="F332" s="4"/>
      <c r="G332" s="5"/>
    </row>
    <row r="333" spans="6:7" x14ac:dyDescent="0.3">
      <c r="F333" s="4"/>
      <c r="G333" s="5"/>
    </row>
    <row r="334" spans="6:7" x14ac:dyDescent="0.3">
      <c r="F334" s="4"/>
      <c r="G334" s="5"/>
    </row>
    <row r="335" spans="6:7" x14ac:dyDescent="0.3">
      <c r="F335" s="4"/>
      <c r="G335" s="5"/>
    </row>
    <row r="336" spans="6:7" x14ac:dyDescent="0.3">
      <c r="F336" s="4"/>
      <c r="G336" s="5"/>
    </row>
    <row r="337" spans="6:7" x14ac:dyDescent="0.3">
      <c r="F337" s="4"/>
      <c r="G337" s="5"/>
    </row>
    <row r="338" spans="6:7" x14ac:dyDescent="0.3">
      <c r="F338" s="4"/>
      <c r="G338" s="5"/>
    </row>
    <row r="339" spans="6:7" x14ac:dyDescent="0.3">
      <c r="F339" s="4"/>
      <c r="G339" s="5"/>
    </row>
    <row r="340" spans="6:7" x14ac:dyDescent="0.3">
      <c r="F340" s="4"/>
      <c r="G340" s="5"/>
    </row>
    <row r="341" spans="6:7" x14ac:dyDescent="0.3">
      <c r="F341" s="4"/>
      <c r="G341" s="5"/>
    </row>
    <row r="342" spans="6:7" x14ac:dyDescent="0.3">
      <c r="F342" s="4"/>
      <c r="G342" s="5"/>
    </row>
    <row r="343" spans="6:7" x14ac:dyDescent="0.3">
      <c r="F343" s="4"/>
      <c r="G343" s="5"/>
    </row>
    <row r="344" spans="6:7" x14ac:dyDescent="0.3">
      <c r="F344" s="4"/>
      <c r="G344" s="5"/>
    </row>
    <row r="345" spans="6:7" x14ac:dyDescent="0.3">
      <c r="F345" s="4"/>
      <c r="G345" s="5"/>
    </row>
    <row r="346" spans="6:7" x14ac:dyDescent="0.3">
      <c r="F346" s="4"/>
      <c r="G346" s="5"/>
    </row>
    <row r="347" spans="6:7" x14ac:dyDescent="0.3">
      <c r="F347" s="4"/>
      <c r="G347" s="5"/>
    </row>
    <row r="348" spans="6:7" x14ac:dyDescent="0.3">
      <c r="F348" s="4"/>
      <c r="G348" s="5"/>
    </row>
    <row r="349" spans="6:7" x14ac:dyDescent="0.3">
      <c r="F349" s="4"/>
      <c r="G349" s="5"/>
    </row>
    <row r="350" spans="6:7" x14ac:dyDescent="0.3">
      <c r="F350" s="4"/>
      <c r="G350" s="5"/>
    </row>
    <row r="351" spans="6:7" x14ac:dyDescent="0.3">
      <c r="F351" s="4"/>
      <c r="G351" s="5"/>
    </row>
    <row r="352" spans="6:7" x14ac:dyDescent="0.3">
      <c r="F352" s="4"/>
      <c r="G352" s="5"/>
    </row>
    <row r="353" spans="6:7" x14ac:dyDescent="0.3">
      <c r="F353" s="4"/>
      <c r="G353" s="5"/>
    </row>
    <row r="354" spans="6:7" x14ac:dyDescent="0.3">
      <c r="F354" s="4"/>
      <c r="G354" s="5"/>
    </row>
    <row r="355" spans="6:7" x14ac:dyDescent="0.3">
      <c r="F355" s="4"/>
      <c r="G355" s="5"/>
    </row>
    <row r="356" spans="6:7" x14ac:dyDescent="0.3">
      <c r="F356" s="4"/>
      <c r="G356" s="5"/>
    </row>
    <row r="357" spans="6:7" x14ac:dyDescent="0.3">
      <c r="F357" s="4"/>
      <c r="G357" s="5"/>
    </row>
    <row r="358" spans="6:7" x14ac:dyDescent="0.3">
      <c r="F358" s="4"/>
      <c r="G358" s="5"/>
    </row>
    <row r="359" spans="6:7" x14ac:dyDescent="0.3">
      <c r="F359" s="4"/>
      <c r="G359" s="5"/>
    </row>
    <row r="360" spans="6:7" x14ac:dyDescent="0.3">
      <c r="F360" s="4"/>
      <c r="G360" s="5"/>
    </row>
    <row r="361" spans="6:7" x14ac:dyDescent="0.3">
      <c r="F361" s="4"/>
      <c r="G361" s="5"/>
    </row>
    <row r="362" spans="6:7" x14ac:dyDescent="0.3">
      <c r="F362" s="4"/>
      <c r="G362" s="5"/>
    </row>
    <row r="363" spans="6:7" x14ac:dyDescent="0.3">
      <c r="F363" s="4"/>
      <c r="G363" s="5"/>
    </row>
    <row r="364" spans="6:7" x14ac:dyDescent="0.3">
      <c r="F364" s="4"/>
      <c r="G364" s="5"/>
    </row>
    <row r="365" spans="6:7" x14ac:dyDescent="0.3">
      <c r="F365" s="4"/>
      <c r="G365" s="5"/>
    </row>
    <row r="366" spans="6:7" x14ac:dyDescent="0.3">
      <c r="F366" s="4"/>
      <c r="G366" s="5"/>
    </row>
    <row r="367" spans="6:7" x14ac:dyDescent="0.3">
      <c r="F367" s="4"/>
      <c r="G367" s="5"/>
    </row>
    <row r="368" spans="6:7" x14ac:dyDescent="0.3">
      <c r="F368" s="4"/>
      <c r="G368" s="5"/>
    </row>
    <row r="369" spans="6:7" x14ac:dyDescent="0.3">
      <c r="F369" s="4"/>
      <c r="G369" s="5"/>
    </row>
    <row r="370" spans="6:7" x14ac:dyDescent="0.3">
      <c r="F370" s="4"/>
      <c r="G370" s="5"/>
    </row>
    <row r="371" spans="6:7" x14ac:dyDescent="0.3">
      <c r="F371" s="4"/>
      <c r="G371" s="5"/>
    </row>
    <row r="372" spans="6:7" x14ac:dyDescent="0.3">
      <c r="F372" s="4"/>
      <c r="G372" s="5"/>
    </row>
    <row r="373" spans="6:7" x14ac:dyDescent="0.3">
      <c r="F373" s="4"/>
      <c r="G373" s="5"/>
    </row>
    <row r="374" spans="6:7" x14ac:dyDescent="0.3">
      <c r="F374" s="4"/>
      <c r="G374" s="5"/>
    </row>
    <row r="375" spans="6:7" x14ac:dyDescent="0.3">
      <c r="F375" s="4"/>
      <c r="G375" s="5"/>
    </row>
    <row r="376" spans="6:7" x14ac:dyDescent="0.3">
      <c r="F376" s="4"/>
      <c r="G376" s="5"/>
    </row>
    <row r="377" spans="6:7" x14ac:dyDescent="0.3">
      <c r="F377" s="4"/>
      <c r="G377" s="5"/>
    </row>
    <row r="378" spans="6:7" x14ac:dyDescent="0.3">
      <c r="F378" s="4"/>
      <c r="G378" s="5"/>
    </row>
    <row r="379" spans="6:7" x14ac:dyDescent="0.3">
      <c r="F379" s="4"/>
      <c r="G379" s="5"/>
    </row>
    <row r="380" spans="6:7" x14ac:dyDescent="0.3">
      <c r="F380" s="4"/>
      <c r="G380" s="5"/>
    </row>
    <row r="381" spans="6:7" x14ac:dyDescent="0.3">
      <c r="F381" s="4"/>
      <c r="G381" s="5"/>
    </row>
    <row r="382" spans="6:7" x14ac:dyDescent="0.3">
      <c r="F382" s="4"/>
      <c r="G382" s="5"/>
    </row>
    <row r="383" spans="6:7" x14ac:dyDescent="0.3">
      <c r="F383" s="4"/>
      <c r="G383" s="5"/>
    </row>
    <row r="384" spans="6:7" x14ac:dyDescent="0.3">
      <c r="F384" s="4"/>
      <c r="G384" s="5"/>
    </row>
    <row r="385" spans="6:7" x14ac:dyDescent="0.3">
      <c r="F385" s="4"/>
      <c r="G385" s="5"/>
    </row>
    <row r="386" spans="6:7" x14ac:dyDescent="0.3">
      <c r="F386" s="4"/>
      <c r="G386" s="5"/>
    </row>
    <row r="387" spans="6:7" x14ac:dyDescent="0.3">
      <c r="F387" s="4"/>
      <c r="G387" s="5"/>
    </row>
    <row r="388" spans="6:7" x14ac:dyDescent="0.3">
      <c r="F388" s="4"/>
      <c r="G388" s="5"/>
    </row>
    <row r="389" spans="6:7" x14ac:dyDescent="0.3">
      <c r="F389" s="4"/>
      <c r="G389" s="5"/>
    </row>
    <row r="390" spans="6:7" x14ac:dyDescent="0.3">
      <c r="F390" s="4"/>
      <c r="G390" s="5"/>
    </row>
    <row r="391" spans="6:7" x14ac:dyDescent="0.3">
      <c r="F391" s="4"/>
      <c r="G391" s="5"/>
    </row>
    <row r="392" spans="6:7" x14ac:dyDescent="0.3">
      <c r="F392" s="4"/>
      <c r="G392" s="5"/>
    </row>
    <row r="393" spans="6:7" x14ac:dyDescent="0.3">
      <c r="F393" s="4"/>
      <c r="G393" s="5"/>
    </row>
    <row r="394" spans="6:7" x14ac:dyDescent="0.3">
      <c r="F394" s="4"/>
      <c r="G394" s="5"/>
    </row>
    <row r="395" spans="6:7" x14ac:dyDescent="0.3">
      <c r="F395" s="4"/>
      <c r="G395" s="5"/>
    </row>
    <row r="396" spans="6:7" x14ac:dyDescent="0.3">
      <c r="F396" s="4"/>
      <c r="G396" s="5"/>
    </row>
    <row r="397" spans="6:7" x14ac:dyDescent="0.3">
      <c r="F397" s="4"/>
      <c r="G397" s="5"/>
    </row>
    <row r="398" spans="6:7" x14ac:dyDescent="0.3">
      <c r="F398" s="4"/>
      <c r="G398" s="5"/>
    </row>
    <row r="399" spans="6:7" x14ac:dyDescent="0.3">
      <c r="F399" s="4"/>
      <c r="G399" s="5"/>
    </row>
    <row r="400" spans="6:7" x14ac:dyDescent="0.3">
      <c r="F400" s="4"/>
      <c r="G400" s="5"/>
    </row>
    <row r="401" spans="6:7" x14ac:dyDescent="0.3">
      <c r="F401" s="4"/>
      <c r="G401" s="5"/>
    </row>
    <row r="402" spans="6:7" x14ac:dyDescent="0.3">
      <c r="F402" s="4"/>
      <c r="G402" s="5"/>
    </row>
    <row r="403" spans="6:7" x14ac:dyDescent="0.3">
      <c r="F403" s="4"/>
      <c r="G403" s="5"/>
    </row>
    <row r="404" spans="6:7" x14ac:dyDescent="0.3">
      <c r="F404" s="4"/>
      <c r="G404" s="5"/>
    </row>
    <row r="405" spans="6:7" x14ac:dyDescent="0.3">
      <c r="F405" s="4"/>
      <c r="G405" s="5"/>
    </row>
    <row r="406" spans="6:7" x14ac:dyDescent="0.3">
      <c r="F406" s="4"/>
      <c r="G406" s="5"/>
    </row>
    <row r="407" spans="6:7" x14ac:dyDescent="0.3">
      <c r="F407" s="4"/>
      <c r="G407" s="5"/>
    </row>
    <row r="408" spans="6:7" x14ac:dyDescent="0.3">
      <c r="F408" s="4"/>
      <c r="G408" s="5"/>
    </row>
    <row r="409" spans="6:7" x14ac:dyDescent="0.3">
      <c r="F409" s="4"/>
      <c r="G409" s="5"/>
    </row>
    <row r="410" spans="6:7" x14ac:dyDescent="0.3">
      <c r="F410" s="4"/>
      <c r="G410" s="5"/>
    </row>
    <row r="411" spans="6:7" x14ac:dyDescent="0.3">
      <c r="F411" s="4"/>
      <c r="G411" s="5"/>
    </row>
    <row r="412" spans="6:7" x14ac:dyDescent="0.3">
      <c r="F412" s="4"/>
      <c r="G412" s="5"/>
    </row>
    <row r="413" spans="6:7" x14ac:dyDescent="0.3">
      <c r="F413" s="4"/>
      <c r="G413" s="5"/>
    </row>
    <row r="414" spans="6:7" x14ac:dyDescent="0.3">
      <c r="F414" s="4"/>
      <c r="G414" s="5"/>
    </row>
    <row r="415" spans="6:7" x14ac:dyDescent="0.3">
      <c r="F415" s="4"/>
      <c r="G415" s="5"/>
    </row>
    <row r="416" spans="6:7" x14ac:dyDescent="0.3">
      <c r="F416" s="4"/>
      <c r="G416" s="5"/>
    </row>
    <row r="417" spans="6:7" x14ac:dyDescent="0.3">
      <c r="F417" s="4"/>
      <c r="G417" s="5"/>
    </row>
    <row r="418" spans="6:7" x14ac:dyDescent="0.3">
      <c r="F418" s="4"/>
      <c r="G418" s="5"/>
    </row>
    <row r="419" spans="6:7" x14ac:dyDescent="0.3">
      <c r="F419" s="4"/>
      <c r="G419" s="5"/>
    </row>
    <row r="420" spans="6:7" x14ac:dyDescent="0.3">
      <c r="F420" s="4"/>
      <c r="G420" s="5"/>
    </row>
    <row r="421" spans="6:7" x14ac:dyDescent="0.3">
      <c r="F421" s="4"/>
      <c r="G421" s="5"/>
    </row>
    <row r="422" spans="6:7" x14ac:dyDescent="0.3">
      <c r="F422" s="4"/>
      <c r="G422" s="5"/>
    </row>
    <row r="423" spans="6:7" x14ac:dyDescent="0.3">
      <c r="F423" s="4"/>
      <c r="G423" s="5"/>
    </row>
    <row r="424" spans="6:7" x14ac:dyDescent="0.3">
      <c r="F424" s="4"/>
      <c r="G424" s="5"/>
    </row>
    <row r="425" spans="6:7" x14ac:dyDescent="0.3">
      <c r="F425" s="4"/>
      <c r="G425" s="5"/>
    </row>
    <row r="426" spans="6:7" x14ac:dyDescent="0.3">
      <c r="F426" s="4"/>
      <c r="G426" s="5"/>
    </row>
    <row r="427" spans="6:7" x14ac:dyDescent="0.3">
      <c r="F427" s="4"/>
      <c r="G427" s="5"/>
    </row>
    <row r="428" spans="6:7" x14ac:dyDescent="0.3">
      <c r="F428" s="4"/>
      <c r="G428" s="5"/>
    </row>
    <row r="429" spans="6:7" x14ac:dyDescent="0.3">
      <c r="F429" s="4"/>
      <c r="G429" s="5"/>
    </row>
    <row r="430" spans="6:7" x14ac:dyDescent="0.3">
      <c r="F430" s="4"/>
      <c r="G430" s="5"/>
    </row>
    <row r="431" spans="6:7" x14ac:dyDescent="0.3">
      <c r="F431" s="4"/>
      <c r="G431" s="5"/>
    </row>
    <row r="432" spans="6:7" x14ac:dyDescent="0.3">
      <c r="F432" s="4"/>
      <c r="G432" s="5"/>
    </row>
    <row r="433" spans="6:7" x14ac:dyDescent="0.3">
      <c r="F433" s="4"/>
      <c r="G433" s="5"/>
    </row>
    <row r="434" spans="6:7" x14ac:dyDescent="0.3">
      <c r="F434" s="4"/>
      <c r="G434" s="5"/>
    </row>
    <row r="435" spans="6:7" x14ac:dyDescent="0.3">
      <c r="F435" s="4"/>
      <c r="G435" s="5"/>
    </row>
    <row r="436" spans="6:7" x14ac:dyDescent="0.3">
      <c r="F436" s="4"/>
      <c r="G436" s="5"/>
    </row>
    <row r="437" spans="6:7" x14ac:dyDescent="0.3">
      <c r="F437" s="4"/>
      <c r="G437" s="5"/>
    </row>
    <row r="438" spans="6:7" x14ac:dyDescent="0.3">
      <c r="F438" s="4"/>
      <c r="G438" s="5"/>
    </row>
    <row r="439" spans="6:7" x14ac:dyDescent="0.3">
      <c r="F439" s="4"/>
      <c r="G439" s="5"/>
    </row>
    <row r="440" spans="6:7" x14ac:dyDescent="0.3">
      <c r="F440" s="4"/>
      <c r="G440" s="5"/>
    </row>
    <row r="441" spans="6:7" x14ac:dyDescent="0.3">
      <c r="F441" s="4"/>
      <c r="G441" s="5"/>
    </row>
    <row r="442" spans="6:7" x14ac:dyDescent="0.3">
      <c r="F442" s="4"/>
      <c r="G442" s="5"/>
    </row>
    <row r="443" spans="6:7" x14ac:dyDescent="0.3">
      <c r="F443" s="4"/>
      <c r="G443" s="5"/>
    </row>
    <row r="444" spans="6:7" x14ac:dyDescent="0.3">
      <c r="F444" s="4"/>
      <c r="G444" s="5"/>
    </row>
    <row r="445" spans="6:7" x14ac:dyDescent="0.3">
      <c r="F445" s="4"/>
      <c r="G445" s="5"/>
    </row>
    <row r="446" spans="6:7" x14ac:dyDescent="0.3">
      <c r="F446" s="4"/>
      <c r="G446" s="5"/>
    </row>
    <row r="447" spans="6:7" x14ac:dyDescent="0.3">
      <c r="F447" s="4"/>
      <c r="G447" s="5"/>
    </row>
    <row r="448" spans="6:7" x14ac:dyDescent="0.3">
      <c r="F448" s="4"/>
      <c r="G448" s="5"/>
    </row>
    <row r="449" spans="6:7" x14ac:dyDescent="0.3">
      <c r="F449" s="4"/>
      <c r="G449" s="5"/>
    </row>
    <row r="450" spans="6:7" x14ac:dyDescent="0.3">
      <c r="F450" s="4"/>
      <c r="G450" s="5"/>
    </row>
    <row r="451" spans="6:7" x14ac:dyDescent="0.3">
      <c r="F451" s="4"/>
      <c r="G451" s="5"/>
    </row>
    <row r="452" spans="6:7" x14ac:dyDescent="0.3">
      <c r="F452" s="4"/>
      <c r="G452" s="5"/>
    </row>
    <row r="453" spans="6:7" x14ac:dyDescent="0.3">
      <c r="F453" s="4"/>
      <c r="G453" s="5"/>
    </row>
    <row r="454" spans="6:7" x14ac:dyDescent="0.3">
      <c r="F454" s="4"/>
      <c r="G454" s="5"/>
    </row>
    <row r="455" spans="6:7" x14ac:dyDescent="0.3">
      <c r="F455" s="4"/>
      <c r="G455" s="5"/>
    </row>
    <row r="456" spans="6:7" x14ac:dyDescent="0.3">
      <c r="F456" s="4"/>
      <c r="G456" s="5"/>
    </row>
    <row r="457" spans="6:7" x14ac:dyDescent="0.3">
      <c r="F457" s="4"/>
      <c r="G457" s="5"/>
    </row>
    <row r="458" spans="6:7" x14ac:dyDescent="0.3">
      <c r="F458" s="4"/>
      <c r="G458" s="5"/>
    </row>
    <row r="459" spans="6:7" x14ac:dyDescent="0.3">
      <c r="F459" s="4"/>
      <c r="G459" s="5"/>
    </row>
    <row r="460" spans="6:7" x14ac:dyDescent="0.3">
      <c r="F460" s="4"/>
      <c r="G460" s="5"/>
    </row>
    <row r="461" spans="6:7" x14ac:dyDescent="0.3">
      <c r="F461" s="4"/>
      <c r="G461" s="5"/>
    </row>
    <row r="462" spans="6:7" x14ac:dyDescent="0.3">
      <c r="F462" s="4"/>
      <c r="G462" s="5"/>
    </row>
    <row r="463" spans="6:7" x14ac:dyDescent="0.3">
      <c r="F463" s="4"/>
      <c r="G463" s="5"/>
    </row>
    <row r="464" spans="6:7" x14ac:dyDescent="0.3">
      <c r="F464" s="4"/>
      <c r="G464" s="5"/>
    </row>
    <row r="465" spans="6:7" x14ac:dyDescent="0.3">
      <c r="F465" s="4"/>
      <c r="G465" s="5"/>
    </row>
    <row r="466" spans="6:7" x14ac:dyDescent="0.3">
      <c r="F466" s="4"/>
      <c r="G466" s="5"/>
    </row>
    <row r="467" spans="6:7" x14ac:dyDescent="0.3">
      <c r="F467" s="4"/>
      <c r="G467" s="5"/>
    </row>
    <row r="468" spans="6:7" x14ac:dyDescent="0.3">
      <c r="F468" s="4"/>
      <c r="G468" s="5"/>
    </row>
    <row r="469" spans="6:7" x14ac:dyDescent="0.3">
      <c r="F469" s="4"/>
      <c r="G469" s="5"/>
    </row>
    <row r="470" spans="6:7" x14ac:dyDescent="0.3">
      <c r="F470" s="4"/>
      <c r="G470" s="5"/>
    </row>
    <row r="471" spans="6:7" x14ac:dyDescent="0.3">
      <c r="F471" s="4"/>
      <c r="G471" s="5"/>
    </row>
    <row r="472" spans="6:7" x14ac:dyDescent="0.3">
      <c r="F472" s="4"/>
      <c r="G472" s="5"/>
    </row>
    <row r="473" spans="6:7" x14ac:dyDescent="0.3">
      <c r="F473" s="4"/>
      <c r="G473" s="5"/>
    </row>
    <row r="474" spans="6:7" x14ac:dyDescent="0.3">
      <c r="F474" s="4"/>
      <c r="G474" s="5"/>
    </row>
    <row r="475" spans="6:7" x14ac:dyDescent="0.3">
      <c r="F475" s="4"/>
      <c r="G475" s="5"/>
    </row>
    <row r="476" spans="6:7" x14ac:dyDescent="0.3">
      <c r="F476" s="4"/>
      <c r="G476" s="5"/>
    </row>
    <row r="477" spans="6:7" x14ac:dyDescent="0.3">
      <c r="F477" s="4"/>
      <c r="G477" s="5"/>
    </row>
    <row r="478" spans="6:7" x14ac:dyDescent="0.3">
      <c r="F478" s="4"/>
      <c r="G478" s="5"/>
    </row>
    <row r="479" spans="6:7" x14ac:dyDescent="0.3">
      <c r="F479" s="4"/>
      <c r="G479" s="5"/>
    </row>
    <row r="480" spans="6:7" x14ac:dyDescent="0.3">
      <c r="F480" s="4"/>
      <c r="G480" s="5"/>
    </row>
    <row r="481" spans="6:7" x14ac:dyDescent="0.3">
      <c r="F481" s="4"/>
      <c r="G481" s="5"/>
    </row>
    <row r="482" spans="6:7" x14ac:dyDescent="0.3">
      <c r="F482" s="4"/>
      <c r="G482" s="5"/>
    </row>
    <row r="483" spans="6:7" x14ac:dyDescent="0.3">
      <c r="F483" s="4"/>
      <c r="G483" s="5"/>
    </row>
    <row r="484" spans="6:7" x14ac:dyDescent="0.3">
      <c r="F484" s="4"/>
      <c r="G484" s="5"/>
    </row>
    <row r="485" spans="6:7" x14ac:dyDescent="0.3">
      <c r="F485" s="4"/>
      <c r="G485" s="5"/>
    </row>
    <row r="486" spans="6:7" x14ac:dyDescent="0.3">
      <c r="F486" s="4"/>
      <c r="G486" s="5"/>
    </row>
    <row r="487" spans="6:7" x14ac:dyDescent="0.3">
      <c r="F487" s="4"/>
      <c r="G487" s="5"/>
    </row>
    <row r="488" spans="6:7" x14ac:dyDescent="0.3">
      <c r="F488" s="4"/>
      <c r="G488" s="5"/>
    </row>
    <row r="489" spans="6:7" x14ac:dyDescent="0.3">
      <c r="F489" s="4"/>
      <c r="G489" s="5"/>
    </row>
    <row r="490" spans="6:7" x14ac:dyDescent="0.3">
      <c r="F490" s="4"/>
      <c r="G490" s="5"/>
    </row>
    <row r="491" spans="6:7" x14ac:dyDescent="0.3">
      <c r="F491" s="4"/>
      <c r="G491" s="5"/>
    </row>
    <row r="492" spans="6:7" x14ac:dyDescent="0.3">
      <c r="F492" s="4"/>
      <c r="G492" s="5"/>
    </row>
    <row r="493" spans="6:7" x14ac:dyDescent="0.3">
      <c r="F493" s="4"/>
      <c r="G493" s="5"/>
    </row>
    <row r="494" spans="6:7" x14ac:dyDescent="0.3">
      <c r="F494" s="4"/>
      <c r="G494" s="5"/>
    </row>
    <row r="495" spans="6:7" x14ac:dyDescent="0.3">
      <c r="F495" s="4"/>
      <c r="G495" s="5"/>
    </row>
    <row r="496" spans="6:7" x14ac:dyDescent="0.3">
      <c r="F496" s="4"/>
      <c r="G496" s="5"/>
    </row>
    <row r="497" spans="6:7" x14ac:dyDescent="0.3">
      <c r="F497" s="4"/>
      <c r="G497" s="5"/>
    </row>
    <row r="498" spans="6:7" x14ac:dyDescent="0.3">
      <c r="F498" s="4"/>
      <c r="G498" s="5"/>
    </row>
    <row r="499" spans="6:7" x14ac:dyDescent="0.3">
      <c r="F499" s="4"/>
      <c r="G499" s="5"/>
    </row>
    <row r="500" spans="6:7" x14ac:dyDescent="0.3">
      <c r="F500" s="4"/>
      <c r="G500" s="5"/>
    </row>
    <row r="501" spans="6:7" x14ac:dyDescent="0.3">
      <c r="F501" s="4"/>
      <c r="G501" s="5"/>
    </row>
    <row r="502" spans="6:7" x14ac:dyDescent="0.3">
      <c r="F502" s="4"/>
      <c r="G502" s="5"/>
    </row>
    <row r="503" spans="6:7" x14ac:dyDescent="0.3">
      <c r="F503" s="4"/>
      <c r="G503" s="5"/>
    </row>
    <row r="504" spans="6:7" x14ac:dyDescent="0.3">
      <c r="F504" s="4"/>
      <c r="G504" s="5"/>
    </row>
    <row r="505" spans="6:7" x14ac:dyDescent="0.3">
      <c r="F505" s="4"/>
      <c r="G505" s="5"/>
    </row>
    <row r="506" spans="6:7" x14ac:dyDescent="0.3">
      <c r="F506" s="4"/>
      <c r="G506" s="5"/>
    </row>
    <row r="507" spans="6:7" x14ac:dyDescent="0.3">
      <c r="F507" s="4"/>
      <c r="G507" s="5"/>
    </row>
    <row r="508" spans="6:7" x14ac:dyDescent="0.3">
      <c r="F508" s="4"/>
      <c r="G508" s="5"/>
    </row>
    <row r="509" spans="6:7" x14ac:dyDescent="0.3">
      <c r="F509" s="4"/>
      <c r="G509" s="5"/>
    </row>
    <row r="510" spans="6:7" x14ac:dyDescent="0.3">
      <c r="F510" s="4"/>
      <c r="G510" s="5"/>
    </row>
    <row r="511" spans="6:7" x14ac:dyDescent="0.3">
      <c r="F511" s="4"/>
      <c r="G511" s="5"/>
    </row>
    <row r="512" spans="6:7" x14ac:dyDescent="0.3">
      <c r="F512" s="4"/>
      <c r="G512" s="5"/>
    </row>
    <row r="513" spans="6:7" x14ac:dyDescent="0.3">
      <c r="F513" s="4"/>
      <c r="G513" s="5"/>
    </row>
    <row r="514" spans="6:7" x14ac:dyDescent="0.3">
      <c r="F514" s="4"/>
      <c r="G514" s="5"/>
    </row>
    <row r="515" spans="6:7" x14ac:dyDescent="0.3">
      <c r="F515" s="4"/>
      <c r="G515" s="5"/>
    </row>
    <row r="516" spans="6:7" x14ac:dyDescent="0.3">
      <c r="F516" s="4"/>
      <c r="G516" s="5"/>
    </row>
    <row r="517" spans="6:7" x14ac:dyDescent="0.3">
      <c r="F517" s="4"/>
      <c r="G517" s="5"/>
    </row>
    <row r="518" spans="6:7" x14ac:dyDescent="0.3">
      <c r="F518" s="4"/>
      <c r="G518" s="5"/>
    </row>
    <row r="519" spans="6:7" x14ac:dyDescent="0.3">
      <c r="F519" s="4"/>
      <c r="G519" s="5"/>
    </row>
    <row r="520" spans="6:7" x14ac:dyDescent="0.3">
      <c r="F520" s="4"/>
      <c r="G520" s="5"/>
    </row>
    <row r="521" spans="6:7" x14ac:dyDescent="0.3">
      <c r="F521" s="4"/>
      <c r="G521" s="5"/>
    </row>
    <row r="522" spans="6:7" x14ac:dyDescent="0.3">
      <c r="F522" s="4"/>
      <c r="G522" s="5"/>
    </row>
    <row r="523" spans="6:7" x14ac:dyDescent="0.3">
      <c r="F523" s="4"/>
      <c r="G523" s="5"/>
    </row>
    <row r="524" spans="6:7" x14ac:dyDescent="0.3">
      <c r="F524" s="4"/>
      <c r="G524" s="5"/>
    </row>
    <row r="525" spans="6:7" x14ac:dyDescent="0.3">
      <c r="F525" s="4"/>
      <c r="G525" s="5"/>
    </row>
    <row r="526" spans="6:7" x14ac:dyDescent="0.3">
      <c r="F526" s="4"/>
      <c r="G526" s="5"/>
    </row>
    <row r="527" spans="6:7" x14ac:dyDescent="0.3">
      <c r="F527" s="4"/>
      <c r="G527" s="5"/>
    </row>
    <row r="528" spans="6:7" x14ac:dyDescent="0.3">
      <c r="F528" s="4"/>
      <c r="G528" s="5"/>
    </row>
    <row r="529" spans="6:7" x14ac:dyDescent="0.3">
      <c r="F529" s="4"/>
      <c r="G529" s="5"/>
    </row>
    <row r="530" spans="6:7" x14ac:dyDescent="0.3">
      <c r="F530" s="4"/>
      <c r="G530" s="5"/>
    </row>
    <row r="531" spans="6:7" x14ac:dyDescent="0.3">
      <c r="F531" s="4"/>
      <c r="G531" s="5"/>
    </row>
    <row r="532" spans="6:7" x14ac:dyDescent="0.3">
      <c r="F532" s="4"/>
      <c r="G532" s="5"/>
    </row>
    <row r="533" spans="6:7" x14ac:dyDescent="0.3">
      <c r="F533" s="4"/>
      <c r="G533" s="5"/>
    </row>
    <row r="534" spans="6:7" x14ac:dyDescent="0.3">
      <c r="F534" s="4"/>
      <c r="G534" s="5"/>
    </row>
    <row r="535" spans="6:7" x14ac:dyDescent="0.3">
      <c r="F535" s="4"/>
      <c r="G535" s="5"/>
    </row>
    <row r="536" spans="6:7" x14ac:dyDescent="0.3">
      <c r="F536" s="4"/>
      <c r="G536" s="5"/>
    </row>
    <row r="537" spans="6:7" x14ac:dyDescent="0.3">
      <c r="F537" s="4"/>
      <c r="G537" s="5"/>
    </row>
    <row r="538" spans="6:7" x14ac:dyDescent="0.3">
      <c r="F538" s="4"/>
      <c r="G538" s="5"/>
    </row>
    <row r="539" spans="6:7" x14ac:dyDescent="0.3">
      <c r="F539" s="4"/>
      <c r="G539" s="5"/>
    </row>
    <row r="540" spans="6:7" x14ac:dyDescent="0.3">
      <c r="F540" s="4"/>
      <c r="G540" s="5"/>
    </row>
    <row r="541" spans="6:7" x14ac:dyDescent="0.3">
      <c r="F541" s="4"/>
      <c r="G541" s="5"/>
    </row>
    <row r="542" spans="6:7" x14ac:dyDescent="0.3">
      <c r="F542" s="4"/>
      <c r="G542" s="5"/>
    </row>
    <row r="543" spans="6:7" x14ac:dyDescent="0.3">
      <c r="F543" s="4"/>
      <c r="G543" s="5"/>
    </row>
    <row r="544" spans="6:7" x14ac:dyDescent="0.3">
      <c r="F544" s="4"/>
      <c r="G544" s="5"/>
    </row>
    <row r="545" spans="6:7" x14ac:dyDescent="0.3">
      <c r="F545" s="4"/>
      <c r="G545" s="5"/>
    </row>
    <row r="546" spans="6:7" x14ac:dyDescent="0.3">
      <c r="F546" s="4"/>
      <c r="G546" s="5"/>
    </row>
    <row r="547" spans="6:7" x14ac:dyDescent="0.3">
      <c r="F547" s="4"/>
      <c r="G547" s="5"/>
    </row>
    <row r="548" spans="6:7" x14ac:dyDescent="0.3">
      <c r="F548" s="4"/>
      <c r="G548" s="5"/>
    </row>
    <row r="549" spans="6:7" x14ac:dyDescent="0.3">
      <c r="F549" s="4"/>
      <c r="G549" s="5"/>
    </row>
    <row r="550" spans="6:7" x14ac:dyDescent="0.3">
      <c r="F550" s="4"/>
      <c r="G550" s="5"/>
    </row>
    <row r="551" spans="6:7" x14ac:dyDescent="0.3">
      <c r="F551" s="4"/>
      <c r="G551" s="5"/>
    </row>
    <row r="552" spans="6:7" x14ac:dyDescent="0.3">
      <c r="F552" s="4"/>
      <c r="G552" s="5"/>
    </row>
    <row r="553" spans="6:7" x14ac:dyDescent="0.3">
      <c r="F553" s="4"/>
      <c r="G553" s="5"/>
    </row>
    <row r="554" spans="6:7" x14ac:dyDescent="0.3">
      <c r="F554" s="4"/>
      <c r="G554" s="5"/>
    </row>
    <row r="555" spans="6:7" x14ac:dyDescent="0.3">
      <c r="F555" s="4"/>
      <c r="G555" s="5"/>
    </row>
    <row r="556" spans="6:7" x14ac:dyDescent="0.3">
      <c r="F556" s="4"/>
      <c r="G556" s="5"/>
    </row>
    <row r="557" spans="6:7" x14ac:dyDescent="0.3">
      <c r="F557" s="4"/>
      <c r="G557" s="5"/>
    </row>
    <row r="558" spans="6:7" x14ac:dyDescent="0.3">
      <c r="F558" s="4"/>
      <c r="G558" s="5"/>
    </row>
    <row r="559" spans="6:7" x14ac:dyDescent="0.3">
      <c r="F559" s="4"/>
      <c r="G559" s="5"/>
    </row>
    <row r="560" spans="6:7" x14ac:dyDescent="0.3">
      <c r="F560" s="4"/>
      <c r="G560" s="5"/>
    </row>
    <row r="561" spans="6:7" x14ac:dyDescent="0.3">
      <c r="F561" s="4"/>
      <c r="G561" s="5"/>
    </row>
    <row r="562" spans="6:7" x14ac:dyDescent="0.3">
      <c r="F562" s="4"/>
      <c r="G562" s="5"/>
    </row>
    <row r="563" spans="6:7" x14ac:dyDescent="0.3">
      <c r="F563" s="4"/>
      <c r="G563" s="5"/>
    </row>
    <row r="564" spans="6:7" x14ac:dyDescent="0.3">
      <c r="F564" s="4"/>
      <c r="G564" s="5"/>
    </row>
    <row r="565" spans="6:7" x14ac:dyDescent="0.3">
      <c r="F565" s="4"/>
      <c r="G565" s="5"/>
    </row>
    <row r="566" spans="6:7" x14ac:dyDescent="0.3">
      <c r="F566" s="4"/>
      <c r="G566" s="5"/>
    </row>
    <row r="567" spans="6:7" x14ac:dyDescent="0.3">
      <c r="F567" s="4"/>
      <c r="G567" s="5"/>
    </row>
    <row r="568" spans="6:7" x14ac:dyDescent="0.3">
      <c r="F568" s="4"/>
      <c r="G568" s="5"/>
    </row>
    <row r="569" spans="6:7" x14ac:dyDescent="0.3">
      <c r="F569" s="4"/>
      <c r="G569" s="5"/>
    </row>
    <row r="570" spans="6:7" x14ac:dyDescent="0.3">
      <c r="F570" s="4"/>
      <c r="G570" s="5"/>
    </row>
    <row r="571" spans="6:7" x14ac:dyDescent="0.3">
      <c r="F571" s="4"/>
      <c r="G571" s="5"/>
    </row>
    <row r="572" spans="6:7" x14ac:dyDescent="0.3">
      <c r="F572" s="4"/>
      <c r="G572" s="5"/>
    </row>
    <row r="573" spans="6:7" x14ac:dyDescent="0.3">
      <c r="F573" s="4"/>
      <c r="G573" s="5"/>
    </row>
    <row r="574" spans="6:7" x14ac:dyDescent="0.3">
      <c r="F574" s="4"/>
      <c r="G574" s="5"/>
    </row>
    <row r="575" spans="6:7" x14ac:dyDescent="0.3">
      <c r="F575" s="4"/>
      <c r="G575" s="5"/>
    </row>
    <row r="576" spans="6:7" x14ac:dyDescent="0.3">
      <c r="F576" s="4"/>
      <c r="G576" s="5"/>
    </row>
    <row r="577" spans="6:7" x14ac:dyDescent="0.3">
      <c r="F577" s="4"/>
      <c r="G577" s="5"/>
    </row>
    <row r="578" spans="6:7" x14ac:dyDescent="0.3">
      <c r="F578" s="4"/>
      <c r="G578" s="5"/>
    </row>
    <row r="579" spans="6:7" x14ac:dyDescent="0.3">
      <c r="F579" s="4"/>
      <c r="G579" s="5"/>
    </row>
    <row r="580" spans="6:7" x14ac:dyDescent="0.3">
      <c r="F580" s="4"/>
      <c r="G580" s="5"/>
    </row>
    <row r="581" spans="6:7" x14ac:dyDescent="0.3">
      <c r="F581" s="4"/>
      <c r="G581" s="5"/>
    </row>
    <row r="582" spans="6:7" x14ac:dyDescent="0.3">
      <c r="F582" s="4"/>
      <c r="G582" s="5"/>
    </row>
    <row r="583" spans="6:7" x14ac:dyDescent="0.3">
      <c r="F583" s="4"/>
      <c r="G583" s="5"/>
    </row>
    <row r="584" spans="6:7" x14ac:dyDescent="0.3">
      <c r="F584" s="4"/>
      <c r="G584" s="5"/>
    </row>
    <row r="585" spans="6:7" x14ac:dyDescent="0.3">
      <c r="F585" s="4"/>
      <c r="G585" s="5"/>
    </row>
    <row r="586" spans="6:7" x14ac:dyDescent="0.3">
      <c r="F586" s="4"/>
      <c r="G586" s="5"/>
    </row>
    <row r="587" spans="6:7" x14ac:dyDescent="0.3">
      <c r="F587" s="4"/>
      <c r="G587" s="5"/>
    </row>
    <row r="588" spans="6:7" x14ac:dyDescent="0.3">
      <c r="F588" s="4"/>
      <c r="G588" s="5"/>
    </row>
    <row r="589" spans="6:7" x14ac:dyDescent="0.3">
      <c r="F589" s="4"/>
      <c r="G589" s="5"/>
    </row>
    <row r="590" spans="6:7" x14ac:dyDescent="0.3">
      <c r="F590" s="4"/>
      <c r="G590" s="5"/>
    </row>
    <row r="591" spans="6:7" x14ac:dyDescent="0.3">
      <c r="F591" s="4"/>
      <c r="G591" s="5"/>
    </row>
    <row r="592" spans="6:7" x14ac:dyDescent="0.3">
      <c r="F592" s="4"/>
      <c r="G592" s="5"/>
    </row>
    <row r="593" spans="6:7" x14ac:dyDescent="0.3">
      <c r="F593" s="4"/>
      <c r="G593" s="5"/>
    </row>
    <row r="594" spans="6:7" x14ac:dyDescent="0.3">
      <c r="F594" s="4"/>
      <c r="G594" s="5"/>
    </row>
    <row r="595" spans="6:7" x14ac:dyDescent="0.3">
      <c r="F595" s="4"/>
      <c r="G595" s="5"/>
    </row>
    <row r="596" spans="6:7" x14ac:dyDescent="0.3">
      <c r="F596" s="4"/>
      <c r="G596" s="5"/>
    </row>
    <row r="597" spans="6:7" x14ac:dyDescent="0.3">
      <c r="F597" s="4"/>
      <c r="G597" s="5"/>
    </row>
    <row r="598" spans="6:7" x14ac:dyDescent="0.3">
      <c r="F598" s="4"/>
      <c r="G598" s="5"/>
    </row>
    <row r="599" spans="6:7" x14ac:dyDescent="0.3">
      <c r="F599" s="4"/>
      <c r="G599" s="5"/>
    </row>
    <row r="600" spans="6:7" x14ac:dyDescent="0.3">
      <c r="F600" s="4"/>
      <c r="G600" s="5"/>
    </row>
    <row r="601" spans="6:7" x14ac:dyDescent="0.3">
      <c r="F601" s="4"/>
      <c r="G601" s="5"/>
    </row>
    <row r="602" spans="6:7" x14ac:dyDescent="0.3">
      <c r="F602" s="4"/>
      <c r="G602" s="5"/>
    </row>
    <row r="603" spans="6:7" x14ac:dyDescent="0.3">
      <c r="F603" s="4"/>
      <c r="G603" s="5"/>
    </row>
    <row r="604" spans="6:7" x14ac:dyDescent="0.3">
      <c r="F604" s="4"/>
      <c r="G604" s="5"/>
    </row>
    <row r="605" spans="6:7" x14ac:dyDescent="0.3">
      <c r="F605" s="4"/>
      <c r="G605" s="5"/>
    </row>
    <row r="606" spans="6:7" x14ac:dyDescent="0.3">
      <c r="F606" s="4"/>
      <c r="G606" s="5"/>
    </row>
    <row r="607" spans="6:7" x14ac:dyDescent="0.3">
      <c r="F607" s="4"/>
      <c r="G607" s="5"/>
    </row>
    <row r="608" spans="6:7" x14ac:dyDescent="0.3">
      <c r="F608" s="4"/>
      <c r="G608" s="5"/>
    </row>
    <row r="609" spans="6:7" x14ac:dyDescent="0.3">
      <c r="F609" s="4"/>
      <c r="G609" s="5"/>
    </row>
    <row r="610" spans="6:7" x14ac:dyDescent="0.3">
      <c r="F610" s="4"/>
      <c r="G610" s="5"/>
    </row>
    <row r="611" spans="6:7" x14ac:dyDescent="0.3">
      <c r="F611" s="4"/>
      <c r="G611" s="5"/>
    </row>
    <row r="612" spans="6:7" x14ac:dyDescent="0.3">
      <c r="F612" s="4"/>
      <c r="G612" s="5"/>
    </row>
    <row r="613" spans="6:7" x14ac:dyDescent="0.3">
      <c r="F613" s="4"/>
      <c r="G613" s="5"/>
    </row>
    <row r="614" spans="6:7" x14ac:dyDescent="0.3">
      <c r="F614" s="4"/>
      <c r="G614" s="5"/>
    </row>
    <row r="615" spans="6:7" x14ac:dyDescent="0.3">
      <c r="F615" s="4"/>
      <c r="G615" s="5"/>
    </row>
    <row r="616" spans="6:7" x14ac:dyDescent="0.3">
      <c r="F616" s="4"/>
      <c r="G616" s="5"/>
    </row>
    <row r="617" spans="6:7" x14ac:dyDescent="0.3">
      <c r="F617" s="4"/>
      <c r="G617" s="5"/>
    </row>
    <row r="618" spans="6:7" x14ac:dyDescent="0.3">
      <c r="F618" s="4"/>
      <c r="G618" s="5"/>
    </row>
    <row r="619" spans="6:7" x14ac:dyDescent="0.3">
      <c r="F619" s="4"/>
      <c r="G619" s="5"/>
    </row>
    <row r="620" spans="6:7" x14ac:dyDescent="0.3">
      <c r="F620" s="4"/>
      <c r="G620" s="5"/>
    </row>
    <row r="621" spans="6:7" x14ac:dyDescent="0.3">
      <c r="F621" s="4"/>
      <c r="G621" s="5"/>
    </row>
    <row r="622" spans="6:7" x14ac:dyDescent="0.3">
      <c r="F622" s="4"/>
      <c r="G622" s="5"/>
    </row>
    <row r="623" spans="6:7" x14ac:dyDescent="0.3">
      <c r="F623" s="4"/>
      <c r="G623" s="5"/>
    </row>
    <row r="624" spans="6:7" x14ac:dyDescent="0.3">
      <c r="F624" s="4"/>
      <c r="G624" s="5"/>
    </row>
    <row r="625" spans="6:7" x14ac:dyDescent="0.3">
      <c r="F625" s="4"/>
      <c r="G625" s="5"/>
    </row>
    <row r="626" spans="6:7" x14ac:dyDescent="0.3">
      <c r="F626" s="4"/>
      <c r="G626" s="5"/>
    </row>
    <row r="627" spans="6:7" x14ac:dyDescent="0.3">
      <c r="F627" s="4"/>
      <c r="G627" s="5"/>
    </row>
    <row r="628" spans="6:7" x14ac:dyDescent="0.3">
      <c r="F628" s="4"/>
      <c r="G628" s="5"/>
    </row>
    <row r="629" spans="6:7" x14ac:dyDescent="0.3">
      <c r="F629" s="4"/>
      <c r="G629" s="5"/>
    </row>
    <row r="630" spans="6:7" x14ac:dyDescent="0.3">
      <c r="F630" s="4"/>
      <c r="G630" s="5"/>
    </row>
    <row r="631" spans="6:7" x14ac:dyDescent="0.3">
      <c r="F631" s="4"/>
      <c r="G631" s="5"/>
    </row>
    <row r="632" spans="6:7" x14ac:dyDescent="0.3">
      <c r="F632" s="4"/>
      <c r="G632" s="5"/>
    </row>
    <row r="633" spans="6:7" x14ac:dyDescent="0.3">
      <c r="F633" s="4"/>
      <c r="G633" s="5"/>
    </row>
    <row r="634" spans="6:7" x14ac:dyDescent="0.3">
      <c r="F634" s="4"/>
      <c r="G634" s="5"/>
    </row>
    <row r="635" spans="6:7" x14ac:dyDescent="0.3">
      <c r="F635" s="4"/>
      <c r="G635" s="5"/>
    </row>
    <row r="636" spans="6:7" x14ac:dyDescent="0.3">
      <c r="F636" s="4"/>
      <c r="G636" s="5"/>
    </row>
    <row r="637" spans="6:7" x14ac:dyDescent="0.3">
      <c r="F637" s="4"/>
      <c r="G637" s="5"/>
    </row>
    <row r="638" spans="6:7" x14ac:dyDescent="0.3">
      <c r="F638" s="4"/>
      <c r="G638" s="5"/>
    </row>
    <row r="639" spans="6:7" x14ac:dyDescent="0.3">
      <c r="F639" s="4"/>
      <c r="G639" s="5"/>
    </row>
    <row r="640" spans="6:7" x14ac:dyDescent="0.3">
      <c r="F640" s="4"/>
      <c r="G640" s="5"/>
    </row>
    <row r="641" spans="6:7" x14ac:dyDescent="0.3">
      <c r="F641" s="4"/>
      <c r="G641" s="5"/>
    </row>
    <row r="642" spans="6:7" x14ac:dyDescent="0.3">
      <c r="F642" s="4"/>
      <c r="G642" s="5"/>
    </row>
    <row r="643" spans="6:7" x14ac:dyDescent="0.3">
      <c r="F643" s="4"/>
      <c r="G643" s="5"/>
    </row>
    <row r="644" spans="6:7" x14ac:dyDescent="0.3">
      <c r="F644" s="4"/>
      <c r="G644" s="5"/>
    </row>
    <row r="645" spans="6:7" x14ac:dyDescent="0.3">
      <c r="F645" s="4"/>
      <c r="G645" s="5"/>
    </row>
    <row r="646" spans="6:7" x14ac:dyDescent="0.3">
      <c r="F646" s="4"/>
      <c r="G646" s="5"/>
    </row>
    <row r="647" spans="6:7" x14ac:dyDescent="0.3">
      <c r="F647" s="4"/>
      <c r="G647" s="5"/>
    </row>
    <row r="648" spans="6:7" x14ac:dyDescent="0.3">
      <c r="F648" s="4"/>
      <c r="G648" s="5"/>
    </row>
    <row r="649" spans="6:7" x14ac:dyDescent="0.3">
      <c r="F649" s="4"/>
      <c r="G649" s="5"/>
    </row>
    <row r="650" spans="6:7" x14ac:dyDescent="0.3">
      <c r="F650" s="4"/>
      <c r="G650" s="5"/>
    </row>
    <row r="651" spans="6:7" x14ac:dyDescent="0.3">
      <c r="F651" s="4"/>
      <c r="G651" s="5"/>
    </row>
    <row r="652" spans="6:7" x14ac:dyDescent="0.3">
      <c r="F652" s="4"/>
      <c r="G652" s="5"/>
    </row>
    <row r="653" spans="6:7" x14ac:dyDescent="0.3">
      <c r="F653" s="4"/>
      <c r="G653" s="5"/>
    </row>
    <row r="654" spans="6:7" x14ac:dyDescent="0.3">
      <c r="F654" s="4"/>
      <c r="G654" s="5"/>
    </row>
    <row r="655" spans="6:7" x14ac:dyDescent="0.3">
      <c r="F655" s="4"/>
      <c r="G655" s="5"/>
    </row>
    <row r="656" spans="6:7" x14ac:dyDescent="0.3">
      <c r="F656" s="4"/>
      <c r="G656" s="5"/>
    </row>
    <row r="657" spans="6:7" x14ac:dyDescent="0.3">
      <c r="F657" s="4"/>
      <c r="G657" s="5"/>
    </row>
    <row r="658" spans="6:7" x14ac:dyDescent="0.3">
      <c r="F658" s="4"/>
      <c r="G658" s="5"/>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A54AC-AE47-463A-9FBB-131DB6DA256B}">
  <dimension ref="A1:Z40"/>
  <sheetViews>
    <sheetView zoomScale="123" workbookViewId="0">
      <selection activeCell="L23" sqref="L23"/>
    </sheetView>
  </sheetViews>
  <sheetFormatPr defaultRowHeight="14.4" x14ac:dyDescent="0.3"/>
  <cols>
    <col min="1" max="1" width="15.33203125" customWidth="1"/>
    <col min="2" max="2" width="0.33203125" customWidth="1"/>
    <col min="12" max="12" width="12.88671875" customWidth="1"/>
    <col min="26" max="26" width="41.5546875" customWidth="1"/>
  </cols>
  <sheetData>
    <row r="1" spans="1:26" ht="56.25" customHeight="1" x14ac:dyDescent="0.45">
      <c r="A1" s="1"/>
      <c r="B1" t="s">
        <v>55</v>
      </c>
      <c r="C1" s="3"/>
      <c r="D1" s="2"/>
      <c r="E1" s="2"/>
      <c r="F1" s="2"/>
      <c r="G1" s="2"/>
      <c r="H1" s="2"/>
      <c r="I1" s="2"/>
      <c r="J1" s="2"/>
      <c r="K1" s="2"/>
      <c r="L1" s="2"/>
      <c r="M1" s="2"/>
      <c r="N1" s="2"/>
      <c r="O1" s="2"/>
      <c r="P1" s="2"/>
      <c r="Q1" s="2"/>
      <c r="R1" s="2"/>
      <c r="S1" s="2"/>
      <c r="T1" s="2"/>
      <c r="U1" s="2"/>
      <c r="V1" s="2"/>
      <c r="W1" s="2"/>
      <c r="X1" s="2"/>
      <c r="Y1" s="2"/>
      <c r="Z1" s="2"/>
    </row>
    <row r="4" spans="1:26" x14ac:dyDescent="0.3">
      <c r="D4" t="s">
        <v>1</v>
      </c>
      <c r="E4" t="s">
        <v>58</v>
      </c>
    </row>
    <row r="5" spans="1:26" x14ac:dyDescent="0.3">
      <c r="C5" t="s">
        <v>57</v>
      </c>
      <c r="D5">
        <f>AVERAGE(data[Amount])</f>
        <v>4136.2299999999996</v>
      </c>
      <c r="E5">
        <f>AVERAGE(data[Units])</f>
        <v>152.19999999999999</v>
      </c>
    </row>
    <row r="6" spans="1:26" x14ac:dyDescent="0.3">
      <c r="C6" t="s">
        <v>59</v>
      </c>
      <c r="D6">
        <f>MEDIAN(data[Amount])</f>
        <v>3437</v>
      </c>
      <c r="E6">
        <f>MEDIAN(data[Units])</f>
        <v>124.5</v>
      </c>
    </row>
    <row r="7" spans="1:26" x14ac:dyDescent="0.3">
      <c r="C7" t="s">
        <v>60</v>
      </c>
      <c r="D7">
        <f>MIN(data[Amount])</f>
        <v>0</v>
      </c>
      <c r="E7">
        <f>MIN(data[Units])</f>
        <v>0</v>
      </c>
    </row>
    <row r="8" spans="1:26" x14ac:dyDescent="0.3">
      <c r="C8" t="s">
        <v>61</v>
      </c>
      <c r="D8">
        <f>MAX(data[Amount])</f>
        <v>16184</v>
      </c>
      <c r="E8">
        <f>MAX(data[Units])</f>
        <v>525</v>
      </c>
    </row>
    <row r="9" spans="1:26" x14ac:dyDescent="0.3">
      <c r="C9" t="s">
        <v>62</v>
      </c>
      <c r="D9">
        <f>D8-D7</f>
        <v>16184</v>
      </c>
      <c r="E9">
        <f>E8-E7</f>
        <v>525</v>
      </c>
    </row>
    <row r="10" spans="1:26" x14ac:dyDescent="0.3">
      <c r="C10" t="s">
        <v>63</v>
      </c>
      <c r="D10">
        <f>_xlfn.PERCENTILE.EXC(data[Amount],0.25)</f>
        <v>1652</v>
      </c>
      <c r="E10">
        <f>_xlfn.PERCENTILE.EXC(data[Units],0.25)</f>
        <v>54</v>
      </c>
    </row>
    <row r="11" spans="1:26" x14ac:dyDescent="0.3">
      <c r="C11" t="s">
        <v>64</v>
      </c>
      <c r="D11">
        <f>_xlfn.PERCENTILE.EXC(data[Amount],0.75)</f>
        <v>6245.75</v>
      </c>
      <c r="E11">
        <f>_xlfn.PERCENTILE.EXC(data[Units],0.75)</f>
        <v>223.5</v>
      </c>
    </row>
    <row r="16" spans="1:26" x14ac:dyDescent="0.3">
      <c r="J16" t="s">
        <v>65</v>
      </c>
    </row>
    <row r="17" spans="11:11" x14ac:dyDescent="0.3">
      <c r="K17" t="str" cm="1">
        <f t="array" ref="K17:K38">_xlfn.UNIQUE(data[Product])</f>
        <v>Mint Chip Choco</v>
      </c>
    </row>
    <row r="18" spans="11:11" x14ac:dyDescent="0.3">
      <c r="K18" t="str">
        <v>Orange Choco</v>
      </c>
    </row>
    <row r="19" spans="11:11" x14ac:dyDescent="0.3">
      <c r="K19" t="str">
        <v>Caramel Stuffed Bars</v>
      </c>
    </row>
    <row r="20" spans="11:11" x14ac:dyDescent="0.3">
      <c r="K20" t="str">
        <v>Raspberry Choco</v>
      </c>
    </row>
    <row r="21" spans="11:11" x14ac:dyDescent="0.3">
      <c r="K21" t="str">
        <v>Peanut Butter Cubes</v>
      </c>
    </row>
    <row r="22" spans="11:11" x14ac:dyDescent="0.3">
      <c r="K22" t="str">
        <v>Choco Coated Almonds</v>
      </c>
    </row>
    <row r="23" spans="11:11" x14ac:dyDescent="0.3">
      <c r="K23" t="str">
        <v>Drinking Coco</v>
      </c>
    </row>
    <row r="24" spans="11:11" x14ac:dyDescent="0.3">
      <c r="K24" t="str">
        <v>Organic Choco Syrup</v>
      </c>
    </row>
    <row r="25" spans="11:11" x14ac:dyDescent="0.3">
      <c r="K25" t="str">
        <v>Milk Bars</v>
      </c>
    </row>
    <row r="26" spans="11:11" x14ac:dyDescent="0.3">
      <c r="K26" t="str">
        <v>70% Dark Bites</v>
      </c>
    </row>
    <row r="27" spans="11:11" x14ac:dyDescent="0.3">
      <c r="K27" t="str">
        <v>Almond Choco</v>
      </c>
    </row>
    <row r="28" spans="11:11" x14ac:dyDescent="0.3">
      <c r="K28" t="str">
        <v>Eclairs</v>
      </c>
    </row>
    <row r="29" spans="11:11" x14ac:dyDescent="0.3">
      <c r="K29" t="str">
        <v>After Nines</v>
      </c>
    </row>
    <row r="30" spans="11:11" x14ac:dyDescent="0.3">
      <c r="K30" t="str">
        <v>Manuka Honey Choco</v>
      </c>
    </row>
    <row r="31" spans="11:11" x14ac:dyDescent="0.3">
      <c r="K31" t="str">
        <v>Smooth Sliky Salty</v>
      </c>
    </row>
    <row r="32" spans="11:11" x14ac:dyDescent="0.3">
      <c r="K32" t="str">
        <v>85% Dark Bars</v>
      </c>
    </row>
    <row r="33" spans="10:12" x14ac:dyDescent="0.3">
      <c r="K33" t="str">
        <v>Baker's Choco Chips</v>
      </c>
    </row>
    <row r="34" spans="10:12" x14ac:dyDescent="0.3">
      <c r="K34" t="str">
        <v>White Choc</v>
      </c>
    </row>
    <row r="35" spans="10:12" x14ac:dyDescent="0.3">
      <c r="K35" t="str">
        <v>Fruit &amp; Nut Bars</v>
      </c>
    </row>
    <row r="36" spans="10:12" x14ac:dyDescent="0.3">
      <c r="K36" t="str">
        <v>99% Dark &amp; Pure</v>
      </c>
    </row>
    <row r="37" spans="10:12" x14ac:dyDescent="0.3">
      <c r="K37" t="str">
        <v>Spicy Special Slims</v>
      </c>
    </row>
    <row r="38" spans="10:12" x14ac:dyDescent="0.3">
      <c r="K38" t="str">
        <v>50% Dark Bites</v>
      </c>
    </row>
    <row r="40" spans="10:12" x14ac:dyDescent="0.3">
      <c r="J40" t="s">
        <v>66</v>
      </c>
      <c r="L40">
        <f>COUNTA(_xlfn.UNIQUE(data[Product]))</f>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A25BA-9940-41AF-80EC-FFC7C1D80A80}">
  <dimension ref="B6:G306"/>
  <sheetViews>
    <sheetView workbookViewId="0">
      <selection activeCell="R244" sqref="R244"/>
    </sheetView>
  </sheetViews>
  <sheetFormatPr defaultRowHeight="14.4" x14ac:dyDescent="0.3"/>
  <cols>
    <col min="1" max="1" width="8" customWidth="1"/>
    <col min="2" max="2" width="11.109375" bestFit="1" customWidth="1"/>
    <col min="3" max="3" width="17.44140625" customWidth="1"/>
    <col min="4" max="4" width="14.44140625" customWidth="1"/>
    <col min="5" max="5" width="22.33203125" customWidth="1"/>
    <col min="6" max="6" width="15.88671875" customWidth="1"/>
    <col min="7" max="7" width="12" customWidth="1"/>
  </cols>
  <sheetData>
    <row r="6" spans="2:7" x14ac:dyDescent="0.3">
      <c r="B6" t="s">
        <v>56</v>
      </c>
      <c r="C6" s="6" t="s">
        <v>11</v>
      </c>
      <c r="D6" s="6" t="s">
        <v>12</v>
      </c>
      <c r="E6" s="6" t="s">
        <v>0</v>
      </c>
      <c r="F6" s="12" t="s">
        <v>1</v>
      </c>
      <c r="G6" s="12" t="s">
        <v>49</v>
      </c>
    </row>
    <row r="7" spans="2:7" x14ac:dyDescent="0.3">
      <c r="C7" t="s">
        <v>41</v>
      </c>
      <c r="D7" t="s">
        <v>36</v>
      </c>
      <c r="E7" t="s">
        <v>32</v>
      </c>
      <c r="F7" s="4">
        <v>10304</v>
      </c>
      <c r="G7" s="5">
        <v>84</v>
      </c>
    </row>
    <row r="8" spans="2:7" x14ac:dyDescent="0.3">
      <c r="C8" t="s">
        <v>7</v>
      </c>
      <c r="D8" t="s">
        <v>38</v>
      </c>
      <c r="E8" t="s">
        <v>30</v>
      </c>
      <c r="F8" s="4">
        <v>10129</v>
      </c>
      <c r="G8" s="5">
        <v>312</v>
      </c>
    </row>
    <row r="9" spans="2:7" x14ac:dyDescent="0.3">
      <c r="C9" t="s">
        <v>6</v>
      </c>
      <c r="D9" t="s">
        <v>36</v>
      </c>
      <c r="E9" t="s">
        <v>4</v>
      </c>
      <c r="F9" s="4">
        <v>10073</v>
      </c>
      <c r="G9" s="5">
        <v>120</v>
      </c>
    </row>
    <row r="10" spans="2:7" x14ac:dyDescent="0.3">
      <c r="C10" t="s">
        <v>2</v>
      </c>
      <c r="D10" t="s">
        <v>37</v>
      </c>
      <c r="E10" t="s">
        <v>17</v>
      </c>
      <c r="F10" s="4">
        <v>9926</v>
      </c>
      <c r="G10" s="5">
        <v>201</v>
      </c>
    </row>
    <row r="11" spans="2:7" x14ac:dyDescent="0.3">
      <c r="C11" t="s">
        <v>7</v>
      </c>
      <c r="D11" t="s">
        <v>37</v>
      </c>
      <c r="E11" t="s">
        <v>22</v>
      </c>
      <c r="F11" s="4">
        <v>9835</v>
      </c>
      <c r="G11" s="5">
        <v>207</v>
      </c>
    </row>
    <row r="12" spans="2:7" x14ac:dyDescent="0.3">
      <c r="C12" t="s">
        <v>40</v>
      </c>
      <c r="D12" t="s">
        <v>36</v>
      </c>
      <c r="E12" t="s">
        <v>33</v>
      </c>
      <c r="F12" s="4">
        <v>9772</v>
      </c>
      <c r="G12" s="5">
        <v>90</v>
      </c>
    </row>
    <row r="13" spans="2:7" x14ac:dyDescent="0.3">
      <c r="C13" t="s">
        <v>8</v>
      </c>
      <c r="D13" t="s">
        <v>37</v>
      </c>
      <c r="E13" t="s">
        <v>15</v>
      </c>
      <c r="F13" s="4">
        <v>9709</v>
      </c>
      <c r="G13" s="5">
        <v>30</v>
      </c>
    </row>
    <row r="14" spans="2:7" x14ac:dyDescent="0.3">
      <c r="C14" t="s">
        <v>8</v>
      </c>
      <c r="D14" t="s">
        <v>39</v>
      </c>
      <c r="E14" t="s">
        <v>18</v>
      </c>
      <c r="F14" s="4">
        <v>9660</v>
      </c>
      <c r="G14" s="5">
        <v>27</v>
      </c>
    </row>
    <row r="15" spans="2:7" x14ac:dyDescent="0.3">
      <c r="C15" t="s">
        <v>41</v>
      </c>
      <c r="D15" t="s">
        <v>36</v>
      </c>
      <c r="E15" t="s">
        <v>18</v>
      </c>
      <c r="F15" s="4">
        <v>9632</v>
      </c>
      <c r="G15" s="5">
        <v>288</v>
      </c>
    </row>
    <row r="16" spans="2:7" x14ac:dyDescent="0.3">
      <c r="C16" t="s">
        <v>9</v>
      </c>
      <c r="D16" t="s">
        <v>38</v>
      </c>
      <c r="E16" t="s">
        <v>33</v>
      </c>
      <c r="F16" s="4">
        <v>9506</v>
      </c>
      <c r="G16" s="5">
        <v>87</v>
      </c>
    </row>
    <row r="17" spans="3:7" x14ac:dyDescent="0.3">
      <c r="C17" t="s">
        <v>2</v>
      </c>
      <c r="D17" t="s">
        <v>39</v>
      </c>
      <c r="E17" t="s">
        <v>20</v>
      </c>
      <c r="F17" s="4">
        <v>9443</v>
      </c>
      <c r="G17" s="5">
        <v>162</v>
      </c>
    </row>
    <row r="18" spans="3:7" x14ac:dyDescent="0.3">
      <c r="C18" t="s">
        <v>3</v>
      </c>
      <c r="D18" t="s">
        <v>36</v>
      </c>
      <c r="E18" t="s">
        <v>16</v>
      </c>
      <c r="F18" s="4">
        <v>9198</v>
      </c>
      <c r="G18" s="5">
        <v>36</v>
      </c>
    </row>
    <row r="19" spans="3:7" x14ac:dyDescent="0.3">
      <c r="C19" t="s">
        <v>9</v>
      </c>
      <c r="D19" t="s">
        <v>36</v>
      </c>
      <c r="E19" t="s">
        <v>30</v>
      </c>
      <c r="F19" s="4">
        <v>9051</v>
      </c>
      <c r="G19" s="5">
        <v>57</v>
      </c>
    </row>
    <row r="20" spans="3:7" x14ac:dyDescent="0.3">
      <c r="C20" t="s">
        <v>40</v>
      </c>
      <c r="D20" t="s">
        <v>37</v>
      </c>
      <c r="E20" t="s">
        <v>29</v>
      </c>
      <c r="F20" s="4">
        <v>9002</v>
      </c>
      <c r="G20" s="5">
        <v>72</v>
      </c>
    </row>
    <row r="21" spans="3:7" x14ac:dyDescent="0.3">
      <c r="C21" t="s">
        <v>8</v>
      </c>
      <c r="D21" t="s">
        <v>39</v>
      </c>
      <c r="E21" t="s">
        <v>31</v>
      </c>
      <c r="F21" s="4">
        <v>8890</v>
      </c>
      <c r="G21" s="5">
        <v>210</v>
      </c>
    </row>
    <row r="22" spans="3:7" x14ac:dyDescent="0.3">
      <c r="C22" t="s">
        <v>40</v>
      </c>
      <c r="D22" t="s">
        <v>35</v>
      </c>
      <c r="E22" t="s">
        <v>33</v>
      </c>
      <c r="F22" s="4">
        <v>8869</v>
      </c>
      <c r="G22" s="5">
        <v>432</v>
      </c>
    </row>
    <row r="23" spans="3:7" x14ac:dyDescent="0.3">
      <c r="C23" t="s">
        <v>7</v>
      </c>
      <c r="D23" t="s">
        <v>34</v>
      </c>
      <c r="E23" t="s">
        <v>24</v>
      </c>
      <c r="F23" s="4">
        <v>8862</v>
      </c>
      <c r="G23" s="5">
        <v>189</v>
      </c>
    </row>
    <row r="24" spans="3:7" x14ac:dyDescent="0.3">
      <c r="C24" t="s">
        <v>3</v>
      </c>
      <c r="D24" t="s">
        <v>38</v>
      </c>
      <c r="E24" t="s">
        <v>26</v>
      </c>
      <c r="F24" s="4">
        <v>8841</v>
      </c>
      <c r="G24" s="5">
        <v>303</v>
      </c>
    </row>
    <row r="25" spans="3:7" x14ac:dyDescent="0.3">
      <c r="C25" t="s">
        <v>5</v>
      </c>
      <c r="D25" t="s">
        <v>37</v>
      </c>
      <c r="E25" t="s">
        <v>25</v>
      </c>
      <c r="F25" s="4">
        <v>8813</v>
      </c>
      <c r="G25" s="5">
        <v>21</v>
      </c>
    </row>
    <row r="26" spans="3:7" x14ac:dyDescent="0.3">
      <c r="C26" t="s">
        <v>9</v>
      </c>
      <c r="D26" t="s">
        <v>34</v>
      </c>
      <c r="E26" t="s">
        <v>20</v>
      </c>
      <c r="F26" s="4">
        <v>8463</v>
      </c>
      <c r="G26" s="5">
        <v>492</v>
      </c>
    </row>
    <row r="27" spans="3:7" x14ac:dyDescent="0.3">
      <c r="C27" t="s">
        <v>7</v>
      </c>
      <c r="D27" t="s">
        <v>36</v>
      </c>
      <c r="E27" t="s">
        <v>22</v>
      </c>
      <c r="F27" s="4">
        <v>8435</v>
      </c>
      <c r="G27" s="5">
        <v>42</v>
      </c>
    </row>
    <row r="28" spans="3:7" x14ac:dyDescent="0.3">
      <c r="C28" t="s">
        <v>2</v>
      </c>
      <c r="D28" t="s">
        <v>36</v>
      </c>
      <c r="E28" t="s">
        <v>29</v>
      </c>
      <c r="F28" s="4">
        <v>8211</v>
      </c>
      <c r="G28" s="5">
        <v>75</v>
      </c>
    </row>
    <row r="29" spans="3:7" x14ac:dyDescent="0.3">
      <c r="C29" t="s">
        <v>9</v>
      </c>
      <c r="D29" t="s">
        <v>34</v>
      </c>
      <c r="E29" t="s">
        <v>23</v>
      </c>
      <c r="F29" s="4">
        <v>8155</v>
      </c>
      <c r="G29" s="5">
        <v>90</v>
      </c>
    </row>
    <row r="30" spans="3:7" x14ac:dyDescent="0.3">
      <c r="C30" t="s">
        <v>6</v>
      </c>
      <c r="D30" t="s">
        <v>34</v>
      </c>
      <c r="E30" t="s">
        <v>26</v>
      </c>
      <c r="F30" s="4">
        <v>8008</v>
      </c>
      <c r="G30" s="5">
        <v>456</v>
      </c>
    </row>
    <row r="31" spans="3:7" x14ac:dyDescent="0.3">
      <c r="C31" t="s">
        <v>41</v>
      </c>
      <c r="D31" t="s">
        <v>34</v>
      </c>
      <c r="E31" t="s">
        <v>33</v>
      </c>
      <c r="F31" s="4">
        <v>7847</v>
      </c>
      <c r="G31" s="5">
        <v>174</v>
      </c>
    </row>
    <row r="32" spans="3:7" x14ac:dyDescent="0.3">
      <c r="C32" t="s">
        <v>9</v>
      </c>
      <c r="D32" t="s">
        <v>35</v>
      </c>
      <c r="E32" t="s">
        <v>15</v>
      </c>
      <c r="F32" s="4">
        <v>7833</v>
      </c>
      <c r="G32" s="5">
        <v>243</v>
      </c>
    </row>
    <row r="33" spans="3:7" x14ac:dyDescent="0.3">
      <c r="C33" t="s">
        <v>2</v>
      </c>
      <c r="D33" t="s">
        <v>39</v>
      </c>
      <c r="E33" t="s">
        <v>27</v>
      </c>
      <c r="F33" s="4">
        <v>7812</v>
      </c>
      <c r="G33" s="5">
        <v>81</v>
      </c>
    </row>
    <row r="34" spans="3:7" x14ac:dyDescent="0.3">
      <c r="C34" t="s">
        <v>3</v>
      </c>
      <c r="D34" t="s">
        <v>34</v>
      </c>
      <c r="E34" t="s">
        <v>32</v>
      </c>
      <c r="F34" s="4">
        <v>7777</v>
      </c>
      <c r="G34" s="5">
        <v>504</v>
      </c>
    </row>
    <row r="35" spans="3:7" x14ac:dyDescent="0.3">
      <c r="C35" t="s">
        <v>7</v>
      </c>
      <c r="D35" t="s">
        <v>34</v>
      </c>
      <c r="E35" t="s">
        <v>17</v>
      </c>
      <c r="F35" s="4">
        <v>7777</v>
      </c>
      <c r="G35" s="5">
        <v>39</v>
      </c>
    </row>
    <row r="36" spans="3:7" x14ac:dyDescent="0.3">
      <c r="C36" t="s">
        <v>6</v>
      </c>
      <c r="D36" t="s">
        <v>37</v>
      </c>
      <c r="E36" t="s">
        <v>31</v>
      </c>
      <c r="F36" s="4">
        <v>7693</v>
      </c>
      <c r="G36" s="5">
        <v>87</v>
      </c>
    </row>
    <row r="37" spans="3:7" x14ac:dyDescent="0.3">
      <c r="C37" t="s">
        <v>40</v>
      </c>
      <c r="D37" t="s">
        <v>37</v>
      </c>
      <c r="E37" t="s">
        <v>19</v>
      </c>
      <c r="F37" s="4">
        <v>7693</v>
      </c>
      <c r="G37" s="5">
        <v>21</v>
      </c>
    </row>
    <row r="38" spans="3:7" x14ac:dyDescent="0.3">
      <c r="C38" t="s">
        <v>2</v>
      </c>
      <c r="D38" t="s">
        <v>39</v>
      </c>
      <c r="E38" t="s">
        <v>21</v>
      </c>
      <c r="F38" s="4">
        <v>7651</v>
      </c>
      <c r="G38" s="5">
        <v>213</v>
      </c>
    </row>
    <row r="39" spans="3:7" x14ac:dyDescent="0.3">
      <c r="C39" t="s">
        <v>2</v>
      </c>
      <c r="D39" t="s">
        <v>34</v>
      </c>
      <c r="E39" t="s">
        <v>19</v>
      </c>
      <c r="F39" s="4">
        <v>7511</v>
      </c>
      <c r="G39" s="5">
        <v>120</v>
      </c>
    </row>
    <row r="40" spans="3:7" x14ac:dyDescent="0.3">
      <c r="C40" t="s">
        <v>5</v>
      </c>
      <c r="D40" t="s">
        <v>38</v>
      </c>
      <c r="E40" t="s">
        <v>25</v>
      </c>
      <c r="F40" s="4">
        <v>7483</v>
      </c>
      <c r="G40" s="5">
        <v>45</v>
      </c>
    </row>
    <row r="41" spans="3:7" x14ac:dyDescent="0.3">
      <c r="C41" t="s">
        <v>41</v>
      </c>
      <c r="D41" t="s">
        <v>35</v>
      </c>
      <c r="E41" t="s">
        <v>28</v>
      </c>
      <c r="F41" s="4">
        <v>7455</v>
      </c>
      <c r="G41" s="5">
        <v>216</v>
      </c>
    </row>
    <row r="42" spans="3:7" x14ac:dyDescent="0.3">
      <c r="C42" t="s">
        <v>6</v>
      </c>
      <c r="D42" t="s">
        <v>38</v>
      </c>
      <c r="E42" t="s">
        <v>21</v>
      </c>
      <c r="F42" s="4">
        <v>7322</v>
      </c>
      <c r="G42" s="5">
        <v>36</v>
      </c>
    </row>
    <row r="43" spans="3:7" x14ac:dyDescent="0.3">
      <c r="C43" t="s">
        <v>3</v>
      </c>
      <c r="D43" t="s">
        <v>37</v>
      </c>
      <c r="E43" t="s">
        <v>28</v>
      </c>
      <c r="F43" s="4">
        <v>7308</v>
      </c>
      <c r="G43" s="5">
        <v>327</v>
      </c>
    </row>
    <row r="44" spans="3:7" x14ac:dyDescent="0.3">
      <c r="C44" t="s">
        <v>5</v>
      </c>
      <c r="D44" t="s">
        <v>34</v>
      </c>
      <c r="E44" t="s">
        <v>15</v>
      </c>
      <c r="F44" s="4">
        <v>7280</v>
      </c>
      <c r="G44" s="5">
        <v>201</v>
      </c>
    </row>
    <row r="45" spans="3:7" x14ac:dyDescent="0.3">
      <c r="C45" t="s">
        <v>9</v>
      </c>
      <c r="D45" t="s">
        <v>37</v>
      </c>
      <c r="E45" t="s">
        <v>20</v>
      </c>
      <c r="F45" s="4">
        <v>7273</v>
      </c>
      <c r="G45" s="5">
        <v>96</v>
      </c>
    </row>
    <row r="46" spans="3:7" x14ac:dyDescent="0.3">
      <c r="C46" t="s">
        <v>3</v>
      </c>
      <c r="D46" t="s">
        <v>34</v>
      </c>
      <c r="E46" t="s">
        <v>14</v>
      </c>
      <c r="F46" s="4">
        <v>7259</v>
      </c>
      <c r="G46" s="5">
        <v>276</v>
      </c>
    </row>
    <row r="47" spans="3:7" x14ac:dyDescent="0.3">
      <c r="C47" t="s">
        <v>5</v>
      </c>
      <c r="D47" t="s">
        <v>38</v>
      </c>
      <c r="E47" t="s">
        <v>13</v>
      </c>
      <c r="F47" s="4">
        <v>7189</v>
      </c>
      <c r="G47" s="5">
        <v>54</v>
      </c>
    </row>
    <row r="48" spans="3:7" x14ac:dyDescent="0.3">
      <c r="C48" t="s">
        <v>8</v>
      </c>
      <c r="D48" t="s">
        <v>39</v>
      </c>
      <c r="E48" t="s">
        <v>30</v>
      </c>
      <c r="F48" s="4">
        <v>7021</v>
      </c>
      <c r="G48" s="5">
        <v>183</v>
      </c>
    </row>
    <row r="49" spans="3:7" x14ac:dyDescent="0.3">
      <c r="C49" t="s">
        <v>5</v>
      </c>
      <c r="D49" t="s">
        <v>34</v>
      </c>
      <c r="E49" t="s">
        <v>27</v>
      </c>
      <c r="F49" s="4">
        <v>6986</v>
      </c>
      <c r="G49" s="5">
        <v>21</v>
      </c>
    </row>
    <row r="50" spans="3:7" x14ac:dyDescent="0.3">
      <c r="C50" t="s">
        <v>5</v>
      </c>
      <c r="D50" t="s">
        <v>39</v>
      </c>
      <c r="E50" t="s">
        <v>22</v>
      </c>
      <c r="F50" s="4">
        <v>6909</v>
      </c>
      <c r="G50" s="5">
        <v>81</v>
      </c>
    </row>
    <row r="51" spans="3:7" x14ac:dyDescent="0.3">
      <c r="C51" t="s">
        <v>10</v>
      </c>
      <c r="D51" t="s">
        <v>38</v>
      </c>
      <c r="E51" t="s">
        <v>4</v>
      </c>
      <c r="F51" s="4">
        <v>6860</v>
      </c>
      <c r="G51" s="5">
        <v>126</v>
      </c>
    </row>
    <row r="52" spans="3:7" x14ac:dyDescent="0.3">
      <c r="C52" t="s">
        <v>40</v>
      </c>
      <c r="D52" t="s">
        <v>35</v>
      </c>
      <c r="E52" t="s">
        <v>22</v>
      </c>
      <c r="F52" s="4">
        <v>6853</v>
      </c>
      <c r="G52" s="5">
        <v>372</v>
      </c>
    </row>
    <row r="53" spans="3:7" x14ac:dyDescent="0.3">
      <c r="C53" t="s">
        <v>9</v>
      </c>
      <c r="D53" t="s">
        <v>34</v>
      </c>
      <c r="E53" t="s">
        <v>21</v>
      </c>
      <c r="F53" s="4">
        <v>6832</v>
      </c>
      <c r="G53" s="5">
        <v>27</v>
      </c>
    </row>
    <row r="54" spans="3:7" x14ac:dyDescent="0.3">
      <c r="C54" t="s">
        <v>6</v>
      </c>
      <c r="D54" t="s">
        <v>37</v>
      </c>
      <c r="E54" t="s">
        <v>26</v>
      </c>
      <c r="F54" s="4">
        <v>6818</v>
      </c>
      <c r="G54" s="5">
        <v>6</v>
      </c>
    </row>
    <row r="55" spans="3:7" x14ac:dyDescent="0.3">
      <c r="C55" t="s">
        <v>7</v>
      </c>
      <c r="D55" t="s">
        <v>35</v>
      </c>
      <c r="E55" t="s">
        <v>30</v>
      </c>
      <c r="F55" s="4">
        <v>6755</v>
      </c>
      <c r="G55" s="5">
        <v>252</v>
      </c>
    </row>
    <row r="56" spans="3:7" x14ac:dyDescent="0.3">
      <c r="C56" t="s">
        <v>40</v>
      </c>
      <c r="D56" t="s">
        <v>34</v>
      </c>
      <c r="E56" t="s">
        <v>26</v>
      </c>
      <c r="F56" s="4">
        <v>6748</v>
      </c>
      <c r="G56" s="5">
        <v>48</v>
      </c>
    </row>
    <row r="57" spans="3:7" x14ac:dyDescent="0.3">
      <c r="C57" t="s">
        <v>6</v>
      </c>
      <c r="D57" t="s">
        <v>34</v>
      </c>
      <c r="E57" t="s">
        <v>32</v>
      </c>
      <c r="F57" s="4">
        <v>6734</v>
      </c>
      <c r="G57" s="5">
        <v>123</v>
      </c>
    </row>
    <row r="58" spans="3:7" x14ac:dyDescent="0.3">
      <c r="C58" t="s">
        <v>8</v>
      </c>
      <c r="D58" t="s">
        <v>35</v>
      </c>
      <c r="E58" t="s">
        <v>32</v>
      </c>
      <c r="F58" s="4">
        <v>6706</v>
      </c>
      <c r="G58" s="5">
        <v>459</v>
      </c>
    </row>
    <row r="59" spans="3:7" x14ac:dyDescent="0.3">
      <c r="C59" t="s">
        <v>10</v>
      </c>
      <c r="D59" t="s">
        <v>36</v>
      </c>
      <c r="E59" t="s">
        <v>32</v>
      </c>
      <c r="F59" s="4">
        <v>6657</v>
      </c>
      <c r="G59" s="5">
        <v>303</v>
      </c>
    </row>
    <row r="60" spans="3:7" x14ac:dyDescent="0.3">
      <c r="C60" t="s">
        <v>3</v>
      </c>
      <c r="D60" t="s">
        <v>35</v>
      </c>
      <c r="E60" t="s">
        <v>15</v>
      </c>
      <c r="F60" s="4">
        <v>6657</v>
      </c>
      <c r="G60" s="5">
        <v>276</v>
      </c>
    </row>
    <row r="61" spans="3:7" x14ac:dyDescent="0.3">
      <c r="C61" t="s">
        <v>7</v>
      </c>
      <c r="D61" t="s">
        <v>37</v>
      </c>
      <c r="E61" t="s">
        <v>14</v>
      </c>
      <c r="F61" s="4">
        <v>6608</v>
      </c>
      <c r="G61" s="5">
        <v>225</v>
      </c>
    </row>
    <row r="62" spans="3:7" x14ac:dyDescent="0.3">
      <c r="C62" t="s">
        <v>2</v>
      </c>
      <c r="D62" t="s">
        <v>38</v>
      </c>
      <c r="E62" t="s">
        <v>28</v>
      </c>
      <c r="F62" s="4">
        <v>6580</v>
      </c>
      <c r="G62" s="5">
        <v>183</v>
      </c>
    </row>
    <row r="63" spans="3:7" x14ac:dyDescent="0.3">
      <c r="C63" t="s">
        <v>7</v>
      </c>
      <c r="D63" t="s">
        <v>37</v>
      </c>
      <c r="E63" t="s">
        <v>30</v>
      </c>
      <c r="F63" s="4">
        <v>6454</v>
      </c>
      <c r="G63" s="5">
        <v>54</v>
      </c>
    </row>
    <row r="64" spans="3:7" x14ac:dyDescent="0.3">
      <c r="C64" t="s">
        <v>8</v>
      </c>
      <c r="D64" t="s">
        <v>38</v>
      </c>
      <c r="E64" t="s">
        <v>21</v>
      </c>
      <c r="F64" s="4">
        <v>6433</v>
      </c>
      <c r="G64" s="5">
        <v>78</v>
      </c>
    </row>
    <row r="65" spans="3:7" x14ac:dyDescent="0.3">
      <c r="C65" t="s">
        <v>41</v>
      </c>
      <c r="D65" t="s">
        <v>37</v>
      </c>
      <c r="E65" t="s">
        <v>24</v>
      </c>
      <c r="F65" s="4">
        <v>6398</v>
      </c>
      <c r="G65" s="5">
        <v>102</v>
      </c>
    </row>
    <row r="66" spans="3:7" x14ac:dyDescent="0.3">
      <c r="C66" t="s">
        <v>7</v>
      </c>
      <c r="D66" t="s">
        <v>37</v>
      </c>
      <c r="E66" t="s">
        <v>33</v>
      </c>
      <c r="F66" s="4">
        <v>6391</v>
      </c>
      <c r="G66" s="5">
        <v>48</v>
      </c>
    </row>
    <row r="67" spans="3:7" x14ac:dyDescent="0.3">
      <c r="C67" t="s">
        <v>40</v>
      </c>
      <c r="D67" t="s">
        <v>39</v>
      </c>
      <c r="E67" t="s">
        <v>27</v>
      </c>
      <c r="F67" s="4">
        <v>6370</v>
      </c>
      <c r="G67" s="5">
        <v>30</v>
      </c>
    </row>
    <row r="68" spans="3:7" x14ac:dyDescent="0.3">
      <c r="C68" t="s">
        <v>5</v>
      </c>
      <c r="D68" t="s">
        <v>36</v>
      </c>
      <c r="E68" t="s">
        <v>23</v>
      </c>
      <c r="F68" s="4">
        <v>6314</v>
      </c>
      <c r="G68" s="5">
        <v>15</v>
      </c>
    </row>
    <row r="69" spans="3:7" x14ac:dyDescent="0.3">
      <c r="C69" t="s">
        <v>3</v>
      </c>
      <c r="D69" t="s">
        <v>34</v>
      </c>
      <c r="E69" t="s">
        <v>25</v>
      </c>
      <c r="F69" s="4">
        <v>6300</v>
      </c>
      <c r="G69" s="5">
        <v>42</v>
      </c>
    </row>
    <row r="70" spans="3:7" x14ac:dyDescent="0.3">
      <c r="C70" t="s">
        <v>8</v>
      </c>
      <c r="D70" t="s">
        <v>37</v>
      </c>
      <c r="E70" t="s">
        <v>26</v>
      </c>
      <c r="F70" s="4">
        <v>6279</v>
      </c>
      <c r="G70" s="5">
        <v>45</v>
      </c>
    </row>
    <row r="71" spans="3:7" x14ac:dyDescent="0.3">
      <c r="C71" t="s">
        <v>5</v>
      </c>
      <c r="D71" t="s">
        <v>34</v>
      </c>
      <c r="E71" t="s">
        <v>22</v>
      </c>
      <c r="F71" s="4">
        <v>6279</v>
      </c>
      <c r="G71" s="5">
        <v>237</v>
      </c>
    </row>
    <row r="72" spans="3:7" x14ac:dyDescent="0.3">
      <c r="C72" t="s">
        <v>5</v>
      </c>
      <c r="D72" t="s">
        <v>36</v>
      </c>
      <c r="E72" t="s">
        <v>13</v>
      </c>
      <c r="F72" s="4">
        <v>6146</v>
      </c>
      <c r="G72" s="5">
        <v>63</v>
      </c>
    </row>
    <row r="73" spans="3:7" x14ac:dyDescent="0.3">
      <c r="C73" t="s">
        <v>40</v>
      </c>
      <c r="D73" t="s">
        <v>37</v>
      </c>
      <c r="E73" t="s">
        <v>27</v>
      </c>
      <c r="F73" s="4">
        <v>6132</v>
      </c>
      <c r="G73" s="5">
        <v>93</v>
      </c>
    </row>
    <row r="74" spans="3:7" x14ac:dyDescent="0.3">
      <c r="C74" t="s">
        <v>40</v>
      </c>
      <c r="D74" t="s">
        <v>38</v>
      </c>
      <c r="E74" t="s">
        <v>4</v>
      </c>
      <c r="F74" s="4">
        <v>6125</v>
      </c>
      <c r="G74" s="5">
        <v>102</v>
      </c>
    </row>
    <row r="75" spans="3:7" x14ac:dyDescent="0.3">
      <c r="C75" t="s">
        <v>6</v>
      </c>
      <c r="D75" t="s">
        <v>36</v>
      </c>
      <c r="E75" t="s">
        <v>32</v>
      </c>
      <c r="F75" s="4">
        <v>6118</v>
      </c>
      <c r="G75" s="5">
        <v>9</v>
      </c>
    </row>
    <row r="76" spans="3:7" x14ac:dyDescent="0.3">
      <c r="C76" t="s">
        <v>41</v>
      </c>
      <c r="D76" t="s">
        <v>36</v>
      </c>
      <c r="E76" t="s">
        <v>30</v>
      </c>
      <c r="F76" s="4">
        <v>6118</v>
      </c>
      <c r="G76" s="5">
        <v>174</v>
      </c>
    </row>
    <row r="77" spans="3:7" x14ac:dyDescent="0.3">
      <c r="C77" t="s">
        <v>5</v>
      </c>
      <c r="D77" t="s">
        <v>36</v>
      </c>
      <c r="E77" t="s">
        <v>18</v>
      </c>
      <c r="F77" s="4">
        <v>6111</v>
      </c>
      <c r="G77" s="5">
        <v>3</v>
      </c>
    </row>
    <row r="78" spans="3:7" x14ac:dyDescent="0.3">
      <c r="C78" t="s">
        <v>6</v>
      </c>
      <c r="D78" t="s">
        <v>39</v>
      </c>
      <c r="E78" t="s">
        <v>17</v>
      </c>
      <c r="F78" s="4">
        <v>6048</v>
      </c>
      <c r="G78" s="5">
        <v>27</v>
      </c>
    </row>
    <row r="79" spans="3:7" x14ac:dyDescent="0.3">
      <c r="C79" t="s">
        <v>2</v>
      </c>
      <c r="D79" t="s">
        <v>39</v>
      </c>
      <c r="E79" t="s">
        <v>28</v>
      </c>
      <c r="F79" s="4">
        <v>6027</v>
      </c>
      <c r="G79" s="5">
        <v>144</v>
      </c>
    </row>
    <row r="80" spans="3:7" x14ac:dyDescent="0.3">
      <c r="C80" t="s">
        <v>41</v>
      </c>
      <c r="D80" t="s">
        <v>38</v>
      </c>
      <c r="E80" t="s">
        <v>22</v>
      </c>
      <c r="F80" s="4">
        <v>5915</v>
      </c>
      <c r="G80" s="5">
        <v>3</v>
      </c>
    </row>
    <row r="81" spans="3:7" x14ac:dyDescent="0.3">
      <c r="C81" t="s">
        <v>40</v>
      </c>
      <c r="D81" t="s">
        <v>39</v>
      </c>
      <c r="E81" t="s">
        <v>22</v>
      </c>
      <c r="F81" s="4">
        <v>5817</v>
      </c>
      <c r="G81" s="5">
        <v>12</v>
      </c>
    </row>
    <row r="82" spans="3:7" x14ac:dyDescent="0.3">
      <c r="C82" t="s">
        <v>40</v>
      </c>
      <c r="D82" t="s">
        <v>39</v>
      </c>
      <c r="E82" t="s">
        <v>15</v>
      </c>
      <c r="F82" s="4">
        <v>5775</v>
      </c>
      <c r="G82" s="5">
        <v>42</v>
      </c>
    </row>
    <row r="83" spans="3:7" x14ac:dyDescent="0.3">
      <c r="C83" t="s">
        <v>7</v>
      </c>
      <c r="D83" t="s">
        <v>38</v>
      </c>
      <c r="E83" t="s">
        <v>28</v>
      </c>
      <c r="F83" s="4">
        <v>5677</v>
      </c>
      <c r="G83" s="5">
        <v>258</v>
      </c>
    </row>
    <row r="84" spans="3:7" x14ac:dyDescent="0.3">
      <c r="C84" t="s">
        <v>40</v>
      </c>
      <c r="D84" t="s">
        <v>38</v>
      </c>
      <c r="E84" t="s">
        <v>13</v>
      </c>
      <c r="F84" s="4">
        <v>5670</v>
      </c>
      <c r="G84" s="5">
        <v>297</v>
      </c>
    </row>
    <row r="85" spans="3:7" x14ac:dyDescent="0.3">
      <c r="C85" t="s">
        <v>10</v>
      </c>
      <c r="D85" t="s">
        <v>38</v>
      </c>
      <c r="E85" t="s">
        <v>14</v>
      </c>
      <c r="F85" s="4">
        <v>5586</v>
      </c>
      <c r="G85" s="5">
        <v>525</v>
      </c>
    </row>
    <row r="86" spans="3:7" x14ac:dyDescent="0.3">
      <c r="C86" t="s">
        <v>7</v>
      </c>
      <c r="D86" t="s">
        <v>36</v>
      </c>
      <c r="E86" t="s">
        <v>29</v>
      </c>
      <c r="F86" s="4">
        <v>5551</v>
      </c>
      <c r="G86" s="5">
        <v>252</v>
      </c>
    </row>
    <row r="87" spans="3:7" x14ac:dyDescent="0.3">
      <c r="C87" t="s">
        <v>5</v>
      </c>
      <c r="D87" t="s">
        <v>38</v>
      </c>
      <c r="E87" t="s">
        <v>19</v>
      </c>
      <c r="F87" s="4">
        <v>5474</v>
      </c>
      <c r="G87" s="5">
        <v>168</v>
      </c>
    </row>
    <row r="88" spans="3:7" x14ac:dyDescent="0.3">
      <c r="C88" t="s">
        <v>40</v>
      </c>
      <c r="D88" t="s">
        <v>36</v>
      </c>
      <c r="E88" t="s">
        <v>25</v>
      </c>
      <c r="F88" s="4">
        <v>5439</v>
      </c>
      <c r="G88" s="5">
        <v>30</v>
      </c>
    </row>
    <row r="89" spans="3:7" x14ac:dyDescent="0.3">
      <c r="C89" t="s">
        <v>10</v>
      </c>
      <c r="D89" t="s">
        <v>34</v>
      </c>
      <c r="E89" t="s">
        <v>19</v>
      </c>
      <c r="F89" s="4">
        <v>5355</v>
      </c>
      <c r="G89" s="5">
        <v>204</v>
      </c>
    </row>
    <row r="90" spans="3:7" x14ac:dyDescent="0.3">
      <c r="C90" t="s">
        <v>7</v>
      </c>
      <c r="D90" t="s">
        <v>37</v>
      </c>
      <c r="E90" t="s">
        <v>26</v>
      </c>
      <c r="F90" s="4">
        <v>5306</v>
      </c>
      <c r="G90" s="5">
        <v>0</v>
      </c>
    </row>
    <row r="91" spans="3:7" x14ac:dyDescent="0.3">
      <c r="C91" t="s">
        <v>5</v>
      </c>
      <c r="D91" t="s">
        <v>39</v>
      </c>
      <c r="E91" t="s">
        <v>26</v>
      </c>
      <c r="F91" s="4">
        <v>5236</v>
      </c>
      <c r="G91" s="5">
        <v>51</v>
      </c>
    </row>
    <row r="92" spans="3:7" x14ac:dyDescent="0.3">
      <c r="C92" t="s">
        <v>7</v>
      </c>
      <c r="D92" t="s">
        <v>35</v>
      </c>
      <c r="E92" t="s">
        <v>28</v>
      </c>
      <c r="F92" s="4">
        <v>5194</v>
      </c>
      <c r="G92" s="5">
        <v>288</v>
      </c>
    </row>
    <row r="93" spans="3:7" x14ac:dyDescent="0.3">
      <c r="C93" t="s">
        <v>5</v>
      </c>
      <c r="D93" t="s">
        <v>38</v>
      </c>
      <c r="E93" t="s">
        <v>32</v>
      </c>
      <c r="F93" s="4">
        <v>5075</v>
      </c>
      <c r="G93" s="5">
        <v>21</v>
      </c>
    </row>
    <row r="94" spans="3:7" x14ac:dyDescent="0.3">
      <c r="C94" t="s">
        <v>40</v>
      </c>
      <c r="D94" t="s">
        <v>34</v>
      </c>
      <c r="E94" t="s">
        <v>17</v>
      </c>
      <c r="F94" s="4">
        <v>5019</v>
      </c>
      <c r="G94" s="5">
        <v>156</v>
      </c>
    </row>
    <row r="95" spans="3:7" x14ac:dyDescent="0.3">
      <c r="C95" t="s">
        <v>8</v>
      </c>
      <c r="D95" t="s">
        <v>36</v>
      </c>
      <c r="E95" t="s">
        <v>23</v>
      </c>
      <c r="F95" s="4">
        <v>5019</v>
      </c>
      <c r="G95" s="5">
        <v>150</v>
      </c>
    </row>
    <row r="96" spans="3:7" x14ac:dyDescent="0.3">
      <c r="C96" t="s">
        <v>8</v>
      </c>
      <c r="D96" t="s">
        <v>35</v>
      </c>
      <c r="E96" t="s">
        <v>22</v>
      </c>
      <c r="F96" s="4">
        <v>5012</v>
      </c>
      <c r="G96" s="5">
        <v>210</v>
      </c>
    </row>
    <row r="97" spans="3:7" x14ac:dyDescent="0.3">
      <c r="C97" t="s">
        <v>5</v>
      </c>
      <c r="D97" t="s">
        <v>37</v>
      </c>
      <c r="E97" t="s">
        <v>14</v>
      </c>
      <c r="F97" s="4">
        <v>4991</v>
      </c>
      <c r="G97" s="5">
        <v>12</v>
      </c>
    </row>
    <row r="98" spans="3:7" x14ac:dyDescent="0.3">
      <c r="C98" t="s">
        <v>10</v>
      </c>
      <c r="D98" t="s">
        <v>34</v>
      </c>
      <c r="E98" t="s">
        <v>26</v>
      </c>
      <c r="F98" s="4">
        <v>4991</v>
      </c>
      <c r="G98" s="5">
        <v>9</v>
      </c>
    </row>
    <row r="99" spans="3:7" x14ac:dyDescent="0.3">
      <c r="C99" t="s">
        <v>6</v>
      </c>
      <c r="D99" t="s">
        <v>36</v>
      </c>
      <c r="E99" t="s">
        <v>17</v>
      </c>
      <c r="F99" s="4">
        <v>4970</v>
      </c>
      <c r="G99" s="5">
        <v>156</v>
      </c>
    </row>
    <row r="100" spans="3:7" x14ac:dyDescent="0.3">
      <c r="C100" t="s">
        <v>3</v>
      </c>
      <c r="D100" t="s">
        <v>39</v>
      </c>
      <c r="E100" t="s">
        <v>26</v>
      </c>
      <c r="F100" s="4">
        <v>4956</v>
      </c>
      <c r="G100" s="5">
        <v>171</v>
      </c>
    </row>
    <row r="101" spans="3:7" x14ac:dyDescent="0.3">
      <c r="C101" t="s">
        <v>6</v>
      </c>
      <c r="D101" t="s">
        <v>37</v>
      </c>
      <c r="E101" t="s">
        <v>23</v>
      </c>
      <c r="F101" s="4">
        <v>4949</v>
      </c>
      <c r="G101" s="5">
        <v>189</v>
      </c>
    </row>
    <row r="102" spans="3:7" x14ac:dyDescent="0.3">
      <c r="C102" t="s">
        <v>41</v>
      </c>
      <c r="D102" t="s">
        <v>34</v>
      </c>
      <c r="E102" t="s">
        <v>23</v>
      </c>
      <c r="F102" s="4">
        <v>4935</v>
      </c>
      <c r="G102" s="5">
        <v>126</v>
      </c>
    </row>
    <row r="103" spans="3:7" x14ac:dyDescent="0.3">
      <c r="C103" t="s">
        <v>10</v>
      </c>
      <c r="D103" t="s">
        <v>39</v>
      </c>
      <c r="E103" t="s">
        <v>21</v>
      </c>
      <c r="F103" s="4">
        <v>4858</v>
      </c>
      <c r="G103" s="5">
        <v>279</v>
      </c>
    </row>
    <row r="104" spans="3:7" x14ac:dyDescent="0.3">
      <c r="C104" t="s">
        <v>2</v>
      </c>
      <c r="D104" t="s">
        <v>39</v>
      </c>
      <c r="E104" t="s">
        <v>15</v>
      </c>
      <c r="F104" s="4">
        <v>4802</v>
      </c>
      <c r="G104" s="5">
        <v>36</v>
      </c>
    </row>
    <row r="105" spans="3:7" x14ac:dyDescent="0.3">
      <c r="C105" t="s">
        <v>6</v>
      </c>
      <c r="D105" t="s">
        <v>35</v>
      </c>
      <c r="E105" t="s">
        <v>30</v>
      </c>
      <c r="F105" s="4">
        <v>4781</v>
      </c>
      <c r="G105" s="5">
        <v>123</v>
      </c>
    </row>
    <row r="106" spans="3:7" x14ac:dyDescent="0.3">
      <c r="C106" t="s">
        <v>41</v>
      </c>
      <c r="D106" t="s">
        <v>35</v>
      </c>
      <c r="E106" t="s">
        <v>13</v>
      </c>
      <c r="F106" s="4">
        <v>4760</v>
      </c>
      <c r="G106" s="5">
        <v>69</v>
      </c>
    </row>
    <row r="107" spans="3:7" x14ac:dyDescent="0.3">
      <c r="C107" t="s">
        <v>8</v>
      </c>
      <c r="D107" t="s">
        <v>35</v>
      </c>
      <c r="E107" t="s">
        <v>27</v>
      </c>
      <c r="F107" s="4">
        <v>4753</v>
      </c>
      <c r="G107" s="5">
        <v>300</v>
      </c>
    </row>
    <row r="108" spans="3:7" x14ac:dyDescent="0.3">
      <c r="C108" t="s">
        <v>5</v>
      </c>
      <c r="D108" t="s">
        <v>35</v>
      </c>
      <c r="E108" t="s">
        <v>31</v>
      </c>
      <c r="F108" s="4">
        <v>4753</v>
      </c>
      <c r="G108" s="5">
        <v>246</v>
      </c>
    </row>
    <row r="109" spans="3:7" x14ac:dyDescent="0.3">
      <c r="C109" t="s">
        <v>40</v>
      </c>
      <c r="D109" t="s">
        <v>35</v>
      </c>
      <c r="E109" t="s">
        <v>16</v>
      </c>
      <c r="F109" s="4">
        <v>4725</v>
      </c>
      <c r="G109" s="5">
        <v>174</v>
      </c>
    </row>
    <row r="110" spans="3:7" x14ac:dyDescent="0.3">
      <c r="C110" t="s">
        <v>10</v>
      </c>
      <c r="D110" t="s">
        <v>37</v>
      </c>
      <c r="E110" t="s">
        <v>23</v>
      </c>
      <c r="F110" s="4">
        <v>4683</v>
      </c>
      <c r="G110" s="5">
        <v>30</v>
      </c>
    </row>
    <row r="111" spans="3:7" x14ac:dyDescent="0.3">
      <c r="C111" t="s">
        <v>7</v>
      </c>
      <c r="D111" t="s">
        <v>35</v>
      </c>
      <c r="E111" t="s">
        <v>14</v>
      </c>
      <c r="F111" s="4">
        <v>4606</v>
      </c>
      <c r="G111" s="5">
        <v>63</v>
      </c>
    </row>
    <row r="112" spans="3:7" x14ac:dyDescent="0.3">
      <c r="C112" t="s">
        <v>3</v>
      </c>
      <c r="D112" t="s">
        <v>37</v>
      </c>
      <c r="E112" t="s">
        <v>29</v>
      </c>
      <c r="F112" s="4">
        <v>4592</v>
      </c>
      <c r="G112" s="5">
        <v>324</v>
      </c>
    </row>
    <row r="113" spans="3:7" x14ac:dyDescent="0.3">
      <c r="C113" t="s">
        <v>7</v>
      </c>
      <c r="D113" t="s">
        <v>35</v>
      </c>
      <c r="E113" t="s">
        <v>19</v>
      </c>
      <c r="F113" s="4">
        <v>4585</v>
      </c>
      <c r="G113" s="5">
        <v>240</v>
      </c>
    </row>
    <row r="114" spans="3:7" x14ac:dyDescent="0.3">
      <c r="C114" t="s">
        <v>7</v>
      </c>
      <c r="D114" t="s">
        <v>37</v>
      </c>
      <c r="E114" t="s">
        <v>17</v>
      </c>
      <c r="F114" s="4">
        <v>4487</v>
      </c>
      <c r="G114" s="5">
        <v>111</v>
      </c>
    </row>
    <row r="115" spans="3:7" x14ac:dyDescent="0.3">
      <c r="C115" t="s">
        <v>7</v>
      </c>
      <c r="D115" t="s">
        <v>37</v>
      </c>
      <c r="E115" t="s">
        <v>16</v>
      </c>
      <c r="F115" s="4">
        <v>4487</v>
      </c>
      <c r="G115" s="5">
        <v>333</v>
      </c>
    </row>
    <row r="116" spans="3:7" x14ac:dyDescent="0.3">
      <c r="C116" t="s">
        <v>5</v>
      </c>
      <c r="D116" t="s">
        <v>35</v>
      </c>
      <c r="E116" t="s">
        <v>29</v>
      </c>
      <c r="F116" s="4">
        <v>4480</v>
      </c>
      <c r="G116" s="5">
        <v>357</v>
      </c>
    </row>
    <row r="117" spans="3:7" x14ac:dyDescent="0.3">
      <c r="C117" t="s">
        <v>7</v>
      </c>
      <c r="D117" t="s">
        <v>39</v>
      </c>
      <c r="E117" t="s">
        <v>17</v>
      </c>
      <c r="F117" s="4">
        <v>4438</v>
      </c>
      <c r="G117" s="5">
        <v>246</v>
      </c>
    </row>
    <row r="118" spans="3:7" x14ac:dyDescent="0.3">
      <c r="C118" t="s">
        <v>40</v>
      </c>
      <c r="D118" t="s">
        <v>36</v>
      </c>
      <c r="E118" t="s">
        <v>13</v>
      </c>
      <c r="F118" s="4">
        <v>4424</v>
      </c>
      <c r="G118" s="5">
        <v>201</v>
      </c>
    </row>
    <row r="119" spans="3:7" x14ac:dyDescent="0.3">
      <c r="C119" t="s">
        <v>2</v>
      </c>
      <c r="D119" t="s">
        <v>38</v>
      </c>
      <c r="E119" t="s">
        <v>23</v>
      </c>
      <c r="F119" s="4">
        <v>4417</v>
      </c>
      <c r="G119" s="5">
        <v>153</v>
      </c>
    </row>
    <row r="120" spans="3:7" x14ac:dyDescent="0.3">
      <c r="C120" t="s">
        <v>2</v>
      </c>
      <c r="D120" t="s">
        <v>38</v>
      </c>
      <c r="E120" t="s">
        <v>31</v>
      </c>
      <c r="F120" s="4">
        <v>4326</v>
      </c>
      <c r="G120" s="5">
        <v>348</v>
      </c>
    </row>
    <row r="121" spans="3:7" x14ac:dyDescent="0.3">
      <c r="C121" t="s">
        <v>6</v>
      </c>
      <c r="D121" t="s">
        <v>36</v>
      </c>
      <c r="E121" t="s">
        <v>13</v>
      </c>
      <c r="F121" s="4">
        <v>4319</v>
      </c>
      <c r="G121" s="5">
        <v>30</v>
      </c>
    </row>
    <row r="122" spans="3:7" x14ac:dyDescent="0.3">
      <c r="C122" t="s">
        <v>9</v>
      </c>
      <c r="D122" t="s">
        <v>37</v>
      </c>
      <c r="E122" t="s">
        <v>25</v>
      </c>
      <c r="F122" s="4">
        <v>4305</v>
      </c>
      <c r="G122" s="5">
        <v>156</v>
      </c>
    </row>
    <row r="123" spans="3:7" x14ac:dyDescent="0.3">
      <c r="C123" t="s">
        <v>6</v>
      </c>
      <c r="D123" t="s">
        <v>34</v>
      </c>
      <c r="E123" t="s">
        <v>27</v>
      </c>
      <c r="F123" s="4">
        <v>4242</v>
      </c>
      <c r="G123" s="5">
        <v>207</v>
      </c>
    </row>
    <row r="124" spans="3:7" x14ac:dyDescent="0.3">
      <c r="C124" t="s">
        <v>9</v>
      </c>
      <c r="D124" t="s">
        <v>38</v>
      </c>
      <c r="E124" t="s">
        <v>24</v>
      </c>
      <c r="F124" s="4">
        <v>4137</v>
      </c>
      <c r="G124" s="5">
        <v>60</v>
      </c>
    </row>
    <row r="125" spans="3:7" x14ac:dyDescent="0.3">
      <c r="C125" t="s">
        <v>10</v>
      </c>
      <c r="D125" t="s">
        <v>34</v>
      </c>
      <c r="E125" t="s">
        <v>22</v>
      </c>
      <c r="F125" s="4">
        <v>4053</v>
      </c>
      <c r="G125" s="5">
        <v>24</v>
      </c>
    </row>
    <row r="126" spans="3:7" x14ac:dyDescent="0.3">
      <c r="C126" t="s">
        <v>40</v>
      </c>
      <c r="D126" t="s">
        <v>34</v>
      </c>
      <c r="E126" t="s">
        <v>19</v>
      </c>
      <c r="F126" s="4">
        <v>4018</v>
      </c>
      <c r="G126" s="5">
        <v>162</v>
      </c>
    </row>
    <row r="127" spans="3:7" x14ac:dyDescent="0.3">
      <c r="C127" t="s">
        <v>5</v>
      </c>
      <c r="D127" t="s">
        <v>39</v>
      </c>
      <c r="E127" t="s">
        <v>24</v>
      </c>
      <c r="F127" s="4">
        <v>4018</v>
      </c>
      <c r="G127" s="5">
        <v>171</v>
      </c>
    </row>
    <row r="128" spans="3:7" x14ac:dyDescent="0.3">
      <c r="C128" t="s">
        <v>2</v>
      </c>
      <c r="D128" t="s">
        <v>39</v>
      </c>
      <c r="E128" t="s">
        <v>33</v>
      </c>
      <c r="F128" s="4">
        <v>4018</v>
      </c>
      <c r="G128" s="5">
        <v>126</v>
      </c>
    </row>
    <row r="129" spans="3:7" x14ac:dyDescent="0.3">
      <c r="C129" t="s">
        <v>3</v>
      </c>
      <c r="D129" t="s">
        <v>37</v>
      </c>
      <c r="E129" t="s">
        <v>17</v>
      </c>
      <c r="F129" s="4">
        <v>3983</v>
      </c>
      <c r="G129" s="5">
        <v>144</v>
      </c>
    </row>
    <row r="130" spans="3:7" x14ac:dyDescent="0.3">
      <c r="C130" t="s">
        <v>41</v>
      </c>
      <c r="D130" t="s">
        <v>39</v>
      </c>
      <c r="E130" t="s">
        <v>14</v>
      </c>
      <c r="F130" s="4">
        <v>3976</v>
      </c>
      <c r="G130" s="5">
        <v>72</v>
      </c>
    </row>
    <row r="131" spans="3:7" x14ac:dyDescent="0.3">
      <c r="C131" t="s">
        <v>9</v>
      </c>
      <c r="D131" t="s">
        <v>39</v>
      </c>
      <c r="E131" t="s">
        <v>24</v>
      </c>
      <c r="F131" s="4">
        <v>3920</v>
      </c>
      <c r="G131" s="5">
        <v>306</v>
      </c>
    </row>
    <row r="132" spans="3:7" x14ac:dyDescent="0.3">
      <c r="C132" t="s">
        <v>6</v>
      </c>
      <c r="D132" t="s">
        <v>35</v>
      </c>
      <c r="E132" t="s">
        <v>27</v>
      </c>
      <c r="F132" s="4">
        <v>3864</v>
      </c>
      <c r="G132" s="5">
        <v>177</v>
      </c>
    </row>
    <row r="133" spans="3:7" x14ac:dyDescent="0.3">
      <c r="C133" t="s">
        <v>9</v>
      </c>
      <c r="D133" t="s">
        <v>38</v>
      </c>
      <c r="E133" t="s">
        <v>25</v>
      </c>
      <c r="F133" s="4">
        <v>3850</v>
      </c>
      <c r="G133" s="5">
        <v>102</v>
      </c>
    </row>
    <row r="134" spans="3:7" x14ac:dyDescent="0.3">
      <c r="C134" t="s">
        <v>7</v>
      </c>
      <c r="D134" t="s">
        <v>34</v>
      </c>
      <c r="E134" t="s">
        <v>15</v>
      </c>
      <c r="F134" s="4">
        <v>3829</v>
      </c>
      <c r="G134" s="5">
        <v>24</v>
      </c>
    </row>
    <row r="135" spans="3:7" x14ac:dyDescent="0.3">
      <c r="C135" t="s">
        <v>10</v>
      </c>
      <c r="D135" t="s">
        <v>35</v>
      </c>
      <c r="E135" t="s">
        <v>18</v>
      </c>
      <c r="F135" s="4">
        <v>3808</v>
      </c>
      <c r="G135" s="5">
        <v>279</v>
      </c>
    </row>
    <row r="136" spans="3:7" x14ac:dyDescent="0.3">
      <c r="C136" t="s">
        <v>40</v>
      </c>
      <c r="D136" t="s">
        <v>34</v>
      </c>
      <c r="E136" t="s">
        <v>33</v>
      </c>
      <c r="F136" s="4">
        <v>3794</v>
      </c>
      <c r="G136" s="5">
        <v>159</v>
      </c>
    </row>
    <row r="137" spans="3:7" x14ac:dyDescent="0.3">
      <c r="C137" t="s">
        <v>3</v>
      </c>
      <c r="D137" t="s">
        <v>36</v>
      </c>
      <c r="E137" t="s">
        <v>23</v>
      </c>
      <c r="F137" s="4">
        <v>3773</v>
      </c>
      <c r="G137" s="5">
        <v>165</v>
      </c>
    </row>
    <row r="138" spans="3:7" x14ac:dyDescent="0.3">
      <c r="C138" t="s">
        <v>6</v>
      </c>
      <c r="D138" t="s">
        <v>34</v>
      </c>
      <c r="E138" t="s">
        <v>17</v>
      </c>
      <c r="F138" s="4">
        <v>3759</v>
      </c>
      <c r="G138" s="5">
        <v>150</v>
      </c>
    </row>
    <row r="139" spans="3:7" x14ac:dyDescent="0.3">
      <c r="C139" t="s">
        <v>8</v>
      </c>
      <c r="D139" t="s">
        <v>38</v>
      </c>
      <c r="E139" t="s">
        <v>32</v>
      </c>
      <c r="F139" s="4">
        <v>3752</v>
      </c>
      <c r="G139" s="5">
        <v>213</v>
      </c>
    </row>
    <row r="140" spans="3:7" x14ac:dyDescent="0.3">
      <c r="C140" t="s">
        <v>3</v>
      </c>
      <c r="D140" t="s">
        <v>34</v>
      </c>
      <c r="E140" t="s">
        <v>28</v>
      </c>
      <c r="F140" s="4">
        <v>3689</v>
      </c>
      <c r="G140" s="5">
        <v>312</v>
      </c>
    </row>
    <row r="141" spans="3:7" x14ac:dyDescent="0.3">
      <c r="C141" t="s">
        <v>3</v>
      </c>
      <c r="D141" t="s">
        <v>39</v>
      </c>
      <c r="E141" t="s">
        <v>29</v>
      </c>
      <c r="F141" s="4">
        <v>3640</v>
      </c>
      <c r="G141" s="5">
        <v>51</v>
      </c>
    </row>
    <row r="142" spans="3:7" x14ac:dyDescent="0.3">
      <c r="C142" t="s">
        <v>8</v>
      </c>
      <c r="D142" t="s">
        <v>35</v>
      </c>
      <c r="E142" t="s">
        <v>30</v>
      </c>
      <c r="F142" s="4">
        <v>3598</v>
      </c>
      <c r="G142" s="5">
        <v>81</v>
      </c>
    </row>
    <row r="143" spans="3:7" x14ac:dyDescent="0.3">
      <c r="C143" t="s">
        <v>6</v>
      </c>
      <c r="D143" t="s">
        <v>37</v>
      </c>
      <c r="E143" t="s">
        <v>28</v>
      </c>
      <c r="F143" s="4">
        <v>3556</v>
      </c>
      <c r="G143" s="5">
        <v>459</v>
      </c>
    </row>
    <row r="144" spans="3:7" x14ac:dyDescent="0.3">
      <c r="C144" t="s">
        <v>2</v>
      </c>
      <c r="D144" t="s">
        <v>38</v>
      </c>
      <c r="E144" t="s">
        <v>4</v>
      </c>
      <c r="F144" s="4">
        <v>3549</v>
      </c>
      <c r="G144" s="5">
        <v>3</v>
      </c>
    </row>
    <row r="145" spans="3:7" x14ac:dyDescent="0.3">
      <c r="C145" t="s">
        <v>8</v>
      </c>
      <c r="D145" t="s">
        <v>34</v>
      </c>
      <c r="E145" t="s">
        <v>31</v>
      </c>
      <c r="F145" s="4">
        <v>3507</v>
      </c>
      <c r="G145" s="5">
        <v>288</v>
      </c>
    </row>
    <row r="146" spans="3:7" x14ac:dyDescent="0.3">
      <c r="C146" t="s">
        <v>10</v>
      </c>
      <c r="D146" t="s">
        <v>35</v>
      </c>
      <c r="E146" t="s">
        <v>14</v>
      </c>
      <c r="F146" s="4">
        <v>3472</v>
      </c>
      <c r="G146" s="5">
        <v>96</v>
      </c>
    </row>
    <row r="147" spans="3:7" x14ac:dyDescent="0.3">
      <c r="C147" t="s">
        <v>6</v>
      </c>
      <c r="D147" t="s">
        <v>34</v>
      </c>
      <c r="E147" t="s">
        <v>30</v>
      </c>
      <c r="F147" s="4">
        <v>3402</v>
      </c>
      <c r="G147" s="5">
        <v>366</v>
      </c>
    </row>
    <row r="148" spans="3:7" x14ac:dyDescent="0.3">
      <c r="C148" t="s">
        <v>41</v>
      </c>
      <c r="D148" t="s">
        <v>37</v>
      </c>
      <c r="E148" t="s">
        <v>20</v>
      </c>
      <c r="F148" s="4">
        <v>3388</v>
      </c>
      <c r="G148" s="5">
        <v>123</v>
      </c>
    </row>
    <row r="149" spans="3:7" x14ac:dyDescent="0.3">
      <c r="C149" t="s">
        <v>6</v>
      </c>
      <c r="D149" t="s">
        <v>34</v>
      </c>
      <c r="E149" t="s">
        <v>29</v>
      </c>
      <c r="F149" s="4">
        <v>3339</v>
      </c>
      <c r="G149" s="5">
        <v>75</v>
      </c>
    </row>
    <row r="150" spans="3:7" x14ac:dyDescent="0.3">
      <c r="C150" t="s">
        <v>3</v>
      </c>
      <c r="D150" t="s">
        <v>36</v>
      </c>
      <c r="E150" t="s">
        <v>25</v>
      </c>
      <c r="F150" s="4">
        <v>3339</v>
      </c>
      <c r="G150" s="5">
        <v>39</v>
      </c>
    </row>
    <row r="151" spans="3:7" x14ac:dyDescent="0.3">
      <c r="C151" t="s">
        <v>5</v>
      </c>
      <c r="D151" t="s">
        <v>36</v>
      </c>
      <c r="E151" t="s">
        <v>17</v>
      </c>
      <c r="F151" s="4">
        <v>3339</v>
      </c>
      <c r="G151" s="5">
        <v>348</v>
      </c>
    </row>
    <row r="152" spans="3:7" x14ac:dyDescent="0.3">
      <c r="C152" t="s">
        <v>7</v>
      </c>
      <c r="D152" t="s">
        <v>34</v>
      </c>
      <c r="E152" t="s">
        <v>32</v>
      </c>
      <c r="F152" s="4">
        <v>3262</v>
      </c>
      <c r="G152" s="5">
        <v>75</v>
      </c>
    </row>
    <row r="153" spans="3:7" x14ac:dyDescent="0.3">
      <c r="C153" t="s">
        <v>9</v>
      </c>
      <c r="D153" t="s">
        <v>39</v>
      </c>
      <c r="E153" t="s">
        <v>25</v>
      </c>
      <c r="F153" s="4">
        <v>3192</v>
      </c>
      <c r="G153" s="5">
        <v>72</v>
      </c>
    </row>
    <row r="154" spans="3:7" x14ac:dyDescent="0.3">
      <c r="C154" t="s">
        <v>40</v>
      </c>
      <c r="D154" t="s">
        <v>36</v>
      </c>
      <c r="E154" t="s">
        <v>27</v>
      </c>
      <c r="F154" s="4">
        <v>3164</v>
      </c>
      <c r="G154" s="5">
        <v>306</v>
      </c>
    </row>
    <row r="155" spans="3:7" x14ac:dyDescent="0.3">
      <c r="C155" t="s">
        <v>3</v>
      </c>
      <c r="D155" t="s">
        <v>34</v>
      </c>
      <c r="E155" t="s">
        <v>26</v>
      </c>
      <c r="F155" s="4">
        <v>3108</v>
      </c>
      <c r="G155" s="5">
        <v>54</v>
      </c>
    </row>
    <row r="156" spans="3:7" x14ac:dyDescent="0.3">
      <c r="C156" t="s">
        <v>40</v>
      </c>
      <c r="D156" t="s">
        <v>39</v>
      </c>
      <c r="E156" t="s">
        <v>28</v>
      </c>
      <c r="F156" s="4">
        <v>3101</v>
      </c>
      <c r="G156" s="5">
        <v>225</v>
      </c>
    </row>
    <row r="157" spans="3:7" x14ac:dyDescent="0.3">
      <c r="C157" t="s">
        <v>2</v>
      </c>
      <c r="D157" t="s">
        <v>36</v>
      </c>
      <c r="E157" t="s">
        <v>31</v>
      </c>
      <c r="F157" s="4">
        <v>3094</v>
      </c>
      <c r="G157" s="5">
        <v>246</v>
      </c>
    </row>
    <row r="158" spans="3:7" x14ac:dyDescent="0.3">
      <c r="C158" t="s">
        <v>10</v>
      </c>
      <c r="D158" t="s">
        <v>37</v>
      </c>
      <c r="E158" t="s">
        <v>28</v>
      </c>
      <c r="F158" s="4">
        <v>3059</v>
      </c>
      <c r="G158" s="5">
        <v>27</v>
      </c>
    </row>
    <row r="159" spans="3:7" x14ac:dyDescent="0.3">
      <c r="C159" t="s">
        <v>6</v>
      </c>
      <c r="D159" t="s">
        <v>39</v>
      </c>
      <c r="E159" t="s">
        <v>29</v>
      </c>
      <c r="F159" s="4">
        <v>3052</v>
      </c>
      <c r="G159" s="5">
        <v>378</v>
      </c>
    </row>
    <row r="160" spans="3:7" x14ac:dyDescent="0.3">
      <c r="C160" t="s">
        <v>6</v>
      </c>
      <c r="D160" t="s">
        <v>39</v>
      </c>
      <c r="E160" t="s">
        <v>24</v>
      </c>
      <c r="F160" s="4">
        <v>2989</v>
      </c>
      <c r="G160" s="5">
        <v>3</v>
      </c>
    </row>
    <row r="161" spans="3:7" x14ac:dyDescent="0.3">
      <c r="C161" t="s">
        <v>9</v>
      </c>
      <c r="D161" t="s">
        <v>36</v>
      </c>
      <c r="E161" t="s">
        <v>32</v>
      </c>
      <c r="F161" s="4">
        <v>2954</v>
      </c>
      <c r="G161" s="5">
        <v>189</v>
      </c>
    </row>
    <row r="162" spans="3:7" x14ac:dyDescent="0.3">
      <c r="C162" t="s">
        <v>41</v>
      </c>
      <c r="D162" t="s">
        <v>37</v>
      </c>
      <c r="E162" t="s">
        <v>21</v>
      </c>
      <c r="F162" s="4">
        <v>2933</v>
      </c>
      <c r="G162" s="5">
        <v>9</v>
      </c>
    </row>
    <row r="163" spans="3:7" x14ac:dyDescent="0.3">
      <c r="C163" t="s">
        <v>9</v>
      </c>
      <c r="D163" t="s">
        <v>37</v>
      </c>
      <c r="E163" t="s">
        <v>28</v>
      </c>
      <c r="F163" s="4">
        <v>2919</v>
      </c>
      <c r="G163" s="5">
        <v>45</v>
      </c>
    </row>
    <row r="164" spans="3:7" x14ac:dyDescent="0.3">
      <c r="C164" t="s">
        <v>3</v>
      </c>
      <c r="D164" t="s">
        <v>34</v>
      </c>
      <c r="E164" t="s">
        <v>17</v>
      </c>
      <c r="F164" s="4">
        <v>2919</v>
      </c>
      <c r="G164" s="5">
        <v>93</v>
      </c>
    </row>
    <row r="165" spans="3:7" x14ac:dyDescent="0.3">
      <c r="C165" t="s">
        <v>5</v>
      </c>
      <c r="D165" t="s">
        <v>34</v>
      </c>
      <c r="E165" t="s">
        <v>29</v>
      </c>
      <c r="F165" s="4">
        <v>2891</v>
      </c>
      <c r="G165" s="5">
        <v>102</v>
      </c>
    </row>
    <row r="166" spans="3:7" x14ac:dyDescent="0.3">
      <c r="C166" t="s">
        <v>7</v>
      </c>
      <c r="D166" t="s">
        <v>36</v>
      </c>
      <c r="E166" t="s">
        <v>19</v>
      </c>
      <c r="F166" s="4">
        <v>2870</v>
      </c>
      <c r="G166" s="5">
        <v>300</v>
      </c>
    </row>
    <row r="167" spans="3:7" x14ac:dyDescent="0.3">
      <c r="C167" t="s">
        <v>2</v>
      </c>
      <c r="D167" t="s">
        <v>37</v>
      </c>
      <c r="E167" t="s">
        <v>15</v>
      </c>
      <c r="F167" s="4">
        <v>2863</v>
      </c>
      <c r="G167" s="5">
        <v>42</v>
      </c>
    </row>
    <row r="168" spans="3:7" x14ac:dyDescent="0.3">
      <c r="C168" t="s">
        <v>9</v>
      </c>
      <c r="D168" t="s">
        <v>37</v>
      </c>
      <c r="E168" t="s">
        <v>26</v>
      </c>
      <c r="F168" s="4">
        <v>2856</v>
      </c>
      <c r="G168" s="5">
        <v>246</v>
      </c>
    </row>
    <row r="169" spans="3:7" x14ac:dyDescent="0.3">
      <c r="C169" t="s">
        <v>7</v>
      </c>
      <c r="D169" t="s">
        <v>35</v>
      </c>
      <c r="E169" t="s">
        <v>24</v>
      </c>
      <c r="F169" s="4">
        <v>2793</v>
      </c>
      <c r="G169" s="5">
        <v>114</v>
      </c>
    </row>
    <row r="170" spans="3:7" x14ac:dyDescent="0.3">
      <c r="C170" t="s">
        <v>40</v>
      </c>
      <c r="D170" t="s">
        <v>34</v>
      </c>
      <c r="E170" t="s">
        <v>23</v>
      </c>
      <c r="F170" s="4">
        <v>2779</v>
      </c>
      <c r="G170" s="5">
        <v>75</v>
      </c>
    </row>
    <row r="171" spans="3:7" x14ac:dyDescent="0.3">
      <c r="C171" t="s">
        <v>5</v>
      </c>
      <c r="D171" t="s">
        <v>35</v>
      </c>
      <c r="E171" t="s">
        <v>4</v>
      </c>
      <c r="F171" s="4">
        <v>2744</v>
      </c>
      <c r="G171" s="5">
        <v>9</v>
      </c>
    </row>
    <row r="172" spans="3:7" x14ac:dyDescent="0.3">
      <c r="C172" t="s">
        <v>9</v>
      </c>
      <c r="D172" t="s">
        <v>37</v>
      </c>
      <c r="E172" t="s">
        <v>23</v>
      </c>
      <c r="F172" s="4">
        <v>2737</v>
      </c>
      <c r="G172" s="5">
        <v>93</v>
      </c>
    </row>
    <row r="173" spans="3:7" x14ac:dyDescent="0.3">
      <c r="C173" t="s">
        <v>8</v>
      </c>
      <c r="D173" t="s">
        <v>35</v>
      </c>
      <c r="E173" t="s">
        <v>20</v>
      </c>
      <c r="F173" s="4">
        <v>2702</v>
      </c>
      <c r="G173" s="5">
        <v>363</v>
      </c>
    </row>
    <row r="174" spans="3:7" x14ac:dyDescent="0.3">
      <c r="C174" t="s">
        <v>6</v>
      </c>
      <c r="D174" t="s">
        <v>38</v>
      </c>
      <c r="E174" t="s">
        <v>31</v>
      </c>
      <c r="F174" s="4">
        <v>2681</v>
      </c>
      <c r="G174" s="5">
        <v>54</v>
      </c>
    </row>
    <row r="175" spans="3:7" x14ac:dyDescent="0.3">
      <c r="C175" t="s">
        <v>9</v>
      </c>
      <c r="D175" t="s">
        <v>38</v>
      </c>
      <c r="E175" t="s">
        <v>16</v>
      </c>
      <c r="F175" s="4">
        <v>2646</v>
      </c>
      <c r="G175" s="5">
        <v>120</v>
      </c>
    </row>
    <row r="176" spans="3:7" x14ac:dyDescent="0.3">
      <c r="C176" t="s">
        <v>7</v>
      </c>
      <c r="D176" t="s">
        <v>36</v>
      </c>
      <c r="E176" t="s">
        <v>18</v>
      </c>
      <c r="F176" s="4">
        <v>2646</v>
      </c>
      <c r="G176" s="5">
        <v>177</v>
      </c>
    </row>
    <row r="177" spans="3:7" x14ac:dyDescent="0.3">
      <c r="C177" t="s">
        <v>9</v>
      </c>
      <c r="D177" t="s">
        <v>39</v>
      </c>
      <c r="E177" t="s">
        <v>18</v>
      </c>
      <c r="F177" s="4">
        <v>2639</v>
      </c>
      <c r="G177" s="5">
        <v>204</v>
      </c>
    </row>
    <row r="178" spans="3:7" x14ac:dyDescent="0.3">
      <c r="C178" t="s">
        <v>3</v>
      </c>
      <c r="D178" t="s">
        <v>34</v>
      </c>
      <c r="E178" t="s">
        <v>20</v>
      </c>
      <c r="F178" s="4">
        <v>2583</v>
      </c>
      <c r="G178" s="5">
        <v>18</v>
      </c>
    </row>
    <row r="179" spans="3:7" x14ac:dyDescent="0.3">
      <c r="C179" t="s">
        <v>10</v>
      </c>
      <c r="D179" t="s">
        <v>35</v>
      </c>
      <c r="E179" t="s">
        <v>15</v>
      </c>
      <c r="F179" s="4">
        <v>2562</v>
      </c>
      <c r="G179" s="5">
        <v>6</v>
      </c>
    </row>
    <row r="180" spans="3:7" x14ac:dyDescent="0.3">
      <c r="C180" t="s">
        <v>40</v>
      </c>
      <c r="D180" t="s">
        <v>38</v>
      </c>
      <c r="E180" t="s">
        <v>25</v>
      </c>
      <c r="F180" s="4">
        <v>2541</v>
      </c>
      <c r="G180" s="5">
        <v>90</v>
      </c>
    </row>
    <row r="181" spans="3:7" x14ac:dyDescent="0.3">
      <c r="C181" t="s">
        <v>40</v>
      </c>
      <c r="D181" t="s">
        <v>38</v>
      </c>
      <c r="E181" t="s">
        <v>29</v>
      </c>
      <c r="F181" s="4">
        <v>2541</v>
      </c>
      <c r="G181" s="5">
        <v>45</v>
      </c>
    </row>
    <row r="182" spans="3:7" x14ac:dyDescent="0.3">
      <c r="C182" t="s">
        <v>7</v>
      </c>
      <c r="D182" t="s">
        <v>35</v>
      </c>
      <c r="E182" t="s">
        <v>27</v>
      </c>
      <c r="F182" s="4">
        <v>2478</v>
      </c>
      <c r="G182" s="5">
        <v>21</v>
      </c>
    </row>
    <row r="183" spans="3:7" x14ac:dyDescent="0.3">
      <c r="C183" t="s">
        <v>10</v>
      </c>
      <c r="D183" t="s">
        <v>36</v>
      </c>
      <c r="E183" t="s">
        <v>29</v>
      </c>
      <c r="F183" s="4">
        <v>2471</v>
      </c>
      <c r="G183" s="5">
        <v>342</v>
      </c>
    </row>
    <row r="184" spans="3:7" x14ac:dyDescent="0.3">
      <c r="C184" t="s">
        <v>3</v>
      </c>
      <c r="D184" t="s">
        <v>35</v>
      </c>
      <c r="E184" t="s">
        <v>25</v>
      </c>
      <c r="F184" s="4">
        <v>2464</v>
      </c>
      <c r="G184" s="5">
        <v>234</v>
      </c>
    </row>
    <row r="185" spans="3:7" x14ac:dyDescent="0.3">
      <c r="C185" t="s">
        <v>9</v>
      </c>
      <c r="D185" t="s">
        <v>38</v>
      </c>
      <c r="E185" t="s">
        <v>26</v>
      </c>
      <c r="F185" s="4">
        <v>2436</v>
      </c>
      <c r="G185" s="5">
        <v>99</v>
      </c>
    </row>
    <row r="186" spans="3:7" x14ac:dyDescent="0.3">
      <c r="C186" t="s">
        <v>9</v>
      </c>
      <c r="D186" t="s">
        <v>35</v>
      </c>
      <c r="E186" t="s">
        <v>27</v>
      </c>
      <c r="F186" s="4">
        <v>2429</v>
      </c>
      <c r="G186" s="5">
        <v>144</v>
      </c>
    </row>
    <row r="187" spans="3:7" x14ac:dyDescent="0.3">
      <c r="C187" t="s">
        <v>3</v>
      </c>
      <c r="D187" t="s">
        <v>35</v>
      </c>
      <c r="E187" t="s">
        <v>14</v>
      </c>
      <c r="F187" s="4">
        <v>2415</v>
      </c>
      <c r="G187" s="5">
        <v>255</v>
      </c>
    </row>
    <row r="188" spans="3:7" x14ac:dyDescent="0.3">
      <c r="C188" t="s">
        <v>5</v>
      </c>
      <c r="D188" t="s">
        <v>35</v>
      </c>
      <c r="E188" t="s">
        <v>18</v>
      </c>
      <c r="F188" s="4">
        <v>2415</v>
      </c>
      <c r="G188" s="5">
        <v>15</v>
      </c>
    </row>
    <row r="189" spans="3:7" x14ac:dyDescent="0.3">
      <c r="C189" t="s">
        <v>9</v>
      </c>
      <c r="D189" t="s">
        <v>38</v>
      </c>
      <c r="E189" t="s">
        <v>17</v>
      </c>
      <c r="F189" s="4">
        <v>2408</v>
      </c>
      <c r="G189" s="5">
        <v>9</v>
      </c>
    </row>
    <row r="190" spans="3:7" x14ac:dyDescent="0.3">
      <c r="C190" t="s">
        <v>41</v>
      </c>
      <c r="D190" t="s">
        <v>37</v>
      </c>
      <c r="E190" t="s">
        <v>26</v>
      </c>
      <c r="F190" s="4">
        <v>2324</v>
      </c>
      <c r="G190" s="5">
        <v>177</v>
      </c>
    </row>
    <row r="191" spans="3:7" x14ac:dyDescent="0.3">
      <c r="C191" t="s">
        <v>10</v>
      </c>
      <c r="D191" t="s">
        <v>36</v>
      </c>
      <c r="E191" t="s">
        <v>23</v>
      </c>
      <c r="F191" s="4">
        <v>2317</v>
      </c>
      <c r="G191" s="5">
        <v>261</v>
      </c>
    </row>
    <row r="192" spans="3:7" x14ac:dyDescent="0.3">
      <c r="C192" t="s">
        <v>6</v>
      </c>
      <c r="D192" t="s">
        <v>38</v>
      </c>
      <c r="E192" t="s">
        <v>13</v>
      </c>
      <c r="F192" s="4">
        <v>2317</v>
      </c>
      <c r="G192" s="5">
        <v>123</v>
      </c>
    </row>
    <row r="193" spans="3:7" x14ac:dyDescent="0.3">
      <c r="C193" t="s">
        <v>40</v>
      </c>
      <c r="D193" t="s">
        <v>34</v>
      </c>
      <c r="E193" t="s">
        <v>27</v>
      </c>
      <c r="F193" s="4">
        <v>2289</v>
      </c>
      <c r="G193" s="5">
        <v>135</v>
      </c>
    </row>
    <row r="194" spans="3:7" x14ac:dyDescent="0.3">
      <c r="C194" t="s">
        <v>40</v>
      </c>
      <c r="D194" t="s">
        <v>35</v>
      </c>
      <c r="E194" t="s">
        <v>30</v>
      </c>
      <c r="F194" s="4">
        <v>2275</v>
      </c>
      <c r="G194" s="5">
        <v>447</v>
      </c>
    </row>
    <row r="195" spans="3:7" x14ac:dyDescent="0.3">
      <c r="C195" t="s">
        <v>8</v>
      </c>
      <c r="D195" t="s">
        <v>38</v>
      </c>
      <c r="E195" t="s">
        <v>27</v>
      </c>
      <c r="F195" s="4">
        <v>2268</v>
      </c>
      <c r="G195" s="5">
        <v>63</v>
      </c>
    </row>
    <row r="196" spans="3:7" x14ac:dyDescent="0.3">
      <c r="C196" t="s">
        <v>7</v>
      </c>
      <c r="D196" t="s">
        <v>34</v>
      </c>
      <c r="E196" t="s">
        <v>33</v>
      </c>
      <c r="F196" s="4">
        <v>2226</v>
      </c>
      <c r="G196" s="5">
        <v>48</v>
      </c>
    </row>
    <row r="197" spans="3:7" x14ac:dyDescent="0.3">
      <c r="C197" t="s">
        <v>6</v>
      </c>
      <c r="D197" t="s">
        <v>34</v>
      </c>
      <c r="E197" t="s">
        <v>16</v>
      </c>
      <c r="F197" s="4">
        <v>2219</v>
      </c>
      <c r="G197" s="5">
        <v>75</v>
      </c>
    </row>
    <row r="198" spans="3:7" x14ac:dyDescent="0.3">
      <c r="C198" t="s">
        <v>3</v>
      </c>
      <c r="D198" t="s">
        <v>34</v>
      </c>
      <c r="E198" t="s">
        <v>23</v>
      </c>
      <c r="F198" s="4">
        <v>2212</v>
      </c>
      <c r="G198" s="5">
        <v>117</v>
      </c>
    </row>
    <row r="199" spans="3:7" x14ac:dyDescent="0.3">
      <c r="C199" t="s">
        <v>10</v>
      </c>
      <c r="D199" t="s">
        <v>38</v>
      </c>
      <c r="E199" t="s">
        <v>22</v>
      </c>
      <c r="F199" s="4">
        <v>2205</v>
      </c>
      <c r="G199" s="5">
        <v>141</v>
      </c>
    </row>
    <row r="200" spans="3:7" x14ac:dyDescent="0.3">
      <c r="C200" t="s">
        <v>7</v>
      </c>
      <c r="D200" t="s">
        <v>34</v>
      </c>
      <c r="E200" t="s">
        <v>20</v>
      </c>
      <c r="F200" s="4">
        <v>2205</v>
      </c>
      <c r="G200" s="5">
        <v>138</v>
      </c>
    </row>
    <row r="201" spans="3:7" x14ac:dyDescent="0.3">
      <c r="C201" t="s">
        <v>7</v>
      </c>
      <c r="D201" t="s">
        <v>36</v>
      </c>
      <c r="E201" t="s">
        <v>31</v>
      </c>
      <c r="F201" s="4">
        <v>2149</v>
      </c>
      <c r="G201" s="5">
        <v>117</v>
      </c>
    </row>
    <row r="202" spans="3:7" x14ac:dyDescent="0.3">
      <c r="C202" t="s">
        <v>9</v>
      </c>
      <c r="D202" t="s">
        <v>36</v>
      </c>
      <c r="E202" t="s">
        <v>25</v>
      </c>
      <c r="F202" s="4">
        <v>2142</v>
      </c>
      <c r="G202" s="5">
        <v>114</v>
      </c>
    </row>
    <row r="203" spans="3:7" x14ac:dyDescent="0.3">
      <c r="C203" t="s">
        <v>7</v>
      </c>
      <c r="D203" t="s">
        <v>35</v>
      </c>
      <c r="E203" t="s">
        <v>16</v>
      </c>
      <c r="F203" s="4">
        <v>2135</v>
      </c>
      <c r="G203" s="5">
        <v>27</v>
      </c>
    </row>
    <row r="204" spans="3:7" x14ac:dyDescent="0.3">
      <c r="C204" t="s">
        <v>3</v>
      </c>
      <c r="D204" t="s">
        <v>35</v>
      </c>
      <c r="E204" t="s">
        <v>29</v>
      </c>
      <c r="F204" s="4">
        <v>2114</v>
      </c>
      <c r="G204" s="5">
        <v>66</v>
      </c>
    </row>
    <row r="205" spans="3:7" x14ac:dyDescent="0.3">
      <c r="C205" t="s">
        <v>41</v>
      </c>
      <c r="D205" t="s">
        <v>35</v>
      </c>
      <c r="E205" t="s">
        <v>15</v>
      </c>
      <c r="F205" s="4">
        <v>2114</v>
      </c>
      <c r="G205" s="5">
        <v>186</v>
      </c>
    </row>
    <row r="206" spans="3:7" x14ac:dyDescent="0.3">
      <c r="C206" t="s">
        <v>6</v>
      </c>
      <c r="D206" t="s">
        <v>39</v>
      </c>
      <c r="E206" t="s">
        <v>25</v>
      </c>
      <c r="F206" s="4">
        <v>2100</v>
      </c>
      <c r="G206" s="5">
        <v>414</v>
      </c>
    </row>
    <row r="207" spans="3:7" x14ac:dyDescent="0.3">
      <c r="C207" t="s">
        <v>8</v>
      </c>
      <c r="D207" t="s">
        <v>35</v>
      </c>
      <c r="E207" t="s">
        <v>29</v>
      </c>
      <c r="F207" s="4">
        <v>2023</v>
      </c>
      <c r="G207" s="5">
        <v>168</v>
      </c>
    </row>
    <row r="208" spans="3:7" x14ac:dyDescent="0.3">
      <c r="C208" t="s">
        <v>3</v>
      </c>
      <c r="D208" t="s">
        <v>35</v>
      </c>
      <c r="E208" t="s">
        <v>23</v>
      </c>
      <c r="F208" s="4">
        <v>2023</v>
      </c>
      <c r="G208" s="5">
        <v>78</v>
      </c>
    </row>
    <row r="209" spans="3:7" x14ac:dyDescent="0.3">
      <c r="C209" t="s">
        <v>2</v>
      </c>
      <c r="D209" t="s">
        <v>39</v>
      </c>
      <c r="E209" t="s">
        <v>16</v>
      </c>
      <c r="F209" s="4">
        <v>2016</v>
      </c>
      <c r="G209" s="5">
        <v>117</v>
      </c>
    </row>
    <row r="210" spans="3:7" x14ac:dyDescent="0.3">
      <c r="C210" t="s">
        <v>8</v>
      </c>
      <c r="D210" t="s">
        <v>34</v>
      </c>
      <c r="E210" t="s">
        <v>16</v>
      </c>
      <c r="F210" s="4">
        <v>2009</v>
      </c>
      <c r="G210" s="5">
        <v>219</v>
      </c>
    </row>
    <row r="211" spans="3:7" x14ac:dyDescent="0.3">
      <c r="C211" t="s">
        <v>40</v>
      </c>
      <c r="D211" t="s">
        <v>38</v>
      </c>
      <c r="E211" t="s">
        <v>31</v>
      </c>
      <c r="F211" s="4">
        <v>1988</v>
      </c>
      <c r="G211" s="5">
        <v>39</v>
      </c>
    </row>
    <row r="212" spans="3:7" x14ac:dyDescent="0.3">
      <c r="C212" t="s">
        <v>10</v>
      </c>
      <c r="D212" t="s">
        <v>35</v>
      </c>
      <c r="E212" t="s">
        <v>20</v>
      </c>
      <c r="F212" s="4">
        <v>1974</v>
      </c>
      <c r="G212" s="5">
        <v>195</v>
      </c>
    </row>
    <row r="213" spans="3:7" x14ac:dyDescent="0.3">
      <c r="C213" t="s">
        <v>7</v>
      </c>
      <c r="D213" t="s">
        <v>34</v>
      </c>
      <c r="E213" t="s">
        <v>14</v>
      </c>
      <c r="F213" s="4">
        <v>1932</v>
      </c>
      <c r="G213" s="5">
        <v>369</v>
      </c>
    </row>
    <row r="214" spans="3:7" x14ac:dyDescent="0.3">
      <c r="C214" t="s">
        <v>41</v>
      </c>
      <c r="D214" t="s">
        <v>36</v>
      </c>
      <c r="E214" t="s">
        <v>19</v>
      </c>
      <c r="F214" s="4">
        <v>1925</v>
      </c>
      <c r="G214" s="5">
        <v>192</v>
      </c>
    </row>
    <row r="215" spans="3:7" x14ac:dyDescent="0.3">
      <c r="C215" t="s">
        <v>6</v>
      </c>
      <c r="D215" t="s">
        <v>37</v>
      </c>
      <c r="E215" t="s">
        <v>16</v>
      </c>
      <c r="F215" s="4">
        <v>1904</v>
      </c>
      <c r="G215" s="5">
        <v>405</v>
      </c>
    </row>
    <row r="216" spans="3:7" x14ac:dyDescent="0.3">
      <c r="C216" t="s">
        <v>8</v>
      </c>
      <c r="D216" t="s">
        <v>37</v>
      </c>
      <c r="E216" t="s">
        <v>22</v>
      </c>
      <c r="F216" s="4">
        <v>1890</v>
      </c>
      <c r="G216" s="5">
        <v>195</v>
      </c>
    </row>
    <row r="217" spans="3:7" x14ac:dyDescent="0.3">
      <c r="C217" t="s">
        <v>2</v>
      </c>
      <c r="D217" t="s">
        <v>39</v>
      </c>
      <c r="E217" t="s">
        <v>25</v>
      </c>
      <c r="F217" s="4">
        <v>1785</v>
      </c>
      <c r="G217" s="5">
        <v>462</v>
      </c>
    </row>
    <row r="218" spans="3:7" x14ac:dyDescent="0.3">
      <c r="C218" t="s">
        <v>7</v>
      </c>
      <c r="D218" t="s">
        <v>38</v>
      </c>
      <c r="E218" t="s">
        <v>18</v>
      </c>
      <c r="F218" s="4">
        <v>1778</v>
      </c>
      <c r="G218" s="5">
        <v>270</v>
      </c>
    </row>
    <row r="219" spans="3:7" x14ac:dyDescent="0.3">
      <c r="C219" t="s">
        <v>8</v>
      </c>
      <c r="D219" t="s">
        <v>37</v>
      </c>
      <c r="E219" t="s">
        <v>19</v>
      </c>
      <c r="F219" s="4">
        <v>1771</v>
      </c>
      <c r="G219" s="5">
        <v>204</v>
      </c>
    </row>
    <row r="220" spans="3:7" x14ac:dyDescent="0.3">
      <c r="C220" t="s">
        <v>8</v>
      </c>
      <c r="D220" t="s">
        <v>38</v>
      </c>
      <c r="E220" t="s">
        <v>23</v>
      </c>
      <c r="F220" s="4">
        <v>1701</v>
      </c>
      <c r="G220" s="5">
        <v>234</v>
      </c>
    </row>
    <row r="221" spans="3:7" x14ac:dyDescent="0.3">
      <c r="C221" t="s">
        <v>5</v>
      </c>
      <c r="D221" t="s">
        <v>34</v>
      </c>
      <c r="E221" t="s">
        <v>33</v>
      </c>
      <c r="F221" s="4">
        <v>1652</v>
      </c>
      <c r="G221" s="5">
        <v>93</v>
      </c>
    </row>
    <row r="222" spans="3:7" x14ac:dyDescent="0.3">
      <c r="C222" t="s">
        <v>3</v>
      </c>
      <c r="D222" t="s">
        <v>39</v>
      </c>
      <c r="E222" t="s">
        <v>28</v>
      </c>
      <c r="F222" s="4">
        <v>1652</v>
      </c>
      <c r="G222" s="5">
        <v>102</v>
      </c>
    </row>
    <row r="223" spans="3:7" x14ac:dyDescent="0.3">
      <c r="C223" t="s">
        <v>6</v>
      </c>
      <c r="D223" t="s">
        <v>39</v>
      </c>
      <c r="E223" t="s">
        <v>30</v>
      </c>
      <c r="F223" s="4">
        <v>1638</v>
      </c>
      <c r="G223" s="5">
        <v>63</v>
      </c>
    </row>
    <row r="224" spans="3:7" x14ac:dyDescent="0.3">
      <c r="C224" t="s">
        <v>40</v>
      </c>
      <c r="D224" t="s">
        <v>35</v>
      </c>
      <c r="E224" t="s">
        <v>24</v>
      </c>
      <c r="F224" s="4">
        <v>1638</v>
      </c>
      <c r="G224" s="5">
        <v>48</v>
      </c>
    </row>
    <row r="225" spans="3:7" x14ac:dyDescent="0.3">
      <c r="C225" t="s">
        <v>40</v>
      </c>
      <c r="D225" t="s">
        <v>37</v>
      </c>
      <c r="E225" t="s">
        <v>30</v>
      </c>
      <c r="F225" s="4">
        <v>1624</v>
      </c>
      <c r="G225" s="5">
        <v>114</v>
      </c>
    </row>
    <row r="226" spans="3:7" x14ac:dyDescent="0.3">
      <c r="C226" t="s">
        <v>40</v>
      </c>
      <c r="D226" t="s">
        <v>35</v>
      </c>
      <c r="E226" t="s">
        <v>29</v>
      </c>
      <c r="F226" s="4">
        <v>1617</v>
      </c>
      <c r="G226" s="5">
        <v>126</v>
      </c>
    </row>
    <row r="227" spans="3:7" x14ac:dyDescent="0.3">
      <c r="C227" t="s">
        <v>2</v>
      </c>
      <c r="D227" t="s">
        <v>35</v>
      </c>
      <c r="E227" t="s">
        <v>17</v>
      </c>
      <c r="F227" s="4">
        <v>1589</v>
      </c>
      <c r="G227" s="5">
        <v>303</v>
      </c>
    </row>
    <row r="228" spans="3:7" x14ac:dyDescent="0.3">
      <c r="C228" t="s">
        <v>7</v>
      </c>
      <c r="D228" t="s">
        <v>34</v>
      </c>
      <c r="E228" t="s">
        <v>25</v>
      </c>
      <c r="F228" s="4">
        <v>1568</v>
      </c>
      <c r="G228" s="5">
        <v>96</v>
      </c>
    </row>
    <row r="229" spans="3:7" x14ac:dyDescent="0.3">
      <c r="C229" t="s">
        <v>2</v>
      </c>
      <c r="D229" t="s">
        <v>39</v>
      </c>
      <c r="E229" t="s">
        <v>22</v>
      </c>
      <c r="F229" s="4">
        <v>1568</v>
      </c>
      <c r="G229" s="5">
        <v>141</v>
      </c>
    </row>
    <row r="230" spans="3:7" x14ac:dyDescent="0.3">
      <c r="C230" t="s">
        <v>8</v>
      </c>
      <c r="D230" t="s">
        <v>39</v>
      </c>
      <c r="E230" t="s">
        <v>26</v>
      </c>
      <c r="F230" s="4">
        <v>1561</v>
      </c>
      <c r="G230" s="5">
        <v>27</v>
      </c>
    </row>
    <row r="231" spans="3:7" x14ac:dyDescent="0.3">
      <c r="C231" t="s">
        <v>41</v>
      </c>
      <c r="D231" t="s">
        <v>37</v>
      </c>
      <c r="E231" t="s">
        <v>30</v>
      </c>
      <c r="F231" s="4">
        <v>1526</v>
      </c>
      <c r="G231" s="5">
        <v>240</v>
      </c>
    </row>
    <row r="232" spans="3:7" x14ac:dyDescent="0.3">
      <c r="C232" t="s">
        <v>5</v>
      </c>
      <c r="D232" t="s">
        <v>36</v>
      </c>
      <c r="E232" t="s">
        <v>30</v>
      </c>
      <c r="F232" s="4">
        <v>1526</v>
      </c>
      <c r="G232" s="5">
        <v>105</v>
      </c>
    </row>
    <row r="233" spans="3:7" x14ac:dyDescent="0.3">
      <c r="C233" t="s">
        <v>6</v>
      </c>
      <c r="D233" t="s">
        <v>37</v>
      </c>
      <c r="E233" t="s">
        <v>18</v>
      </c>
      <c r="F233" s="4">
        <v>1505</v>
      </c>
      <c r="G233" s="5">
        <v>102</v>
      </c>
    </row>
    <row r="234" spans="3:7" x14ac:dyDescent="0.3">
      <c r="C234" t="s">
        <v>41</v>
      </c>
      <c r="D234" t="s">
        <v>34</v>
      </c>
      <c r="E234" t="s">
        <v>17</v>
      </c>
      <c r="F234" s="4">
        <v>1463</v>
      </c>
      <c r="G234" s="5">
        <v>39</v>
      </c>
    </row>
    <row r="235" spans="3:7" x14ac:dyDescent="0.3">
      <c r="C235" t="s">
        <v>6</v>
      </c>
      <c r="D235" t="s">
        <v>34</v>
      </c>
      <c r="E235" t="s">
        <v>15</v>
      </c>
      <c r="F235" s="4">
        <v>1442</v>
      </c>
      <c r="G235" s="5">
        <v>15</v>
      </c>
    </row>
    <row r="236" spans="3:7" x14ac:dyDescent="0.3">
      <c r="C236" t="s">
        <v>10</v>
      </c>
      <c r="D236" t="s">
        <v>34</v>
      </c>
      <c r="E236" t="s">
        <v>25</v>
      </c>
      <c r="F236" s="4">
        <v>1428</v>
      </c>
      <c r="G236" s="5">
        <v>93</v>
      </c>
    </row>
    <row r="237" spans="3:7" x14ac:dyDescent="0.3">
      <c r="C237" t="s">
        <v>10</v>
      </c>
      <c r="D237" t="s">
        <v>36</v>
      </c>
      <c r="E237" t="s">
        <v>27</v>
      </c>
      <c r="F237" s="4">
        <v>1407</v>
      </c>
      <c r="G237" s="5">
        <v>72</v>
      </c>
    </row>
    <row r="238" spans="3:7" x14ac:dyDescent="0.3">
      <c r="C238" t="s">
        <v>6</v>
      </c>
      <c r="D238" t="s">
        <v>36</v>
      </c>
      <c r="E238" t="s">
        <v>29</v>
      </c>
      <c r="F238" s="4">
        <v>1400</v>
      </c>
      <c r="G238" s="5">
        <v>135</v>
      </c>
    </row>
    <row r="239" spans="3:7" x14ac:dyDescent="0.3">
      <c r="C239" t="s">
        <v>6</v>
      </c>
      <c r="D239" t="s">
        <v>35</v>
      </c>
      <c r="E239" t="s">
        <v>4</v>
      </c>
      <c r="F239" s="4">
        <v>1302</v>
      </c>
      <c r="G239" s="5">
        <v>402</v>
      </c>
    </row>
    <row r="240" spans="3:7" x14ac:dyDescent="0.3">
      <c r="C240" t="s">
        <v>7</v>
      </c>
      <c r="D240" t="s">
        <v>38</v>
      </c>
      <c r="E240" t="s">
        <v>14</v>
      </c>
      <c r="F240" s="4">
        <v>1281</v>
      </c>
      <c r="G240" s="5">
        <v>75</v>
      </c>
    </row>
    <row r="241" spans="3:7" x14ac:dyDescent="0.3">
      <c r="C241" t="s">
        <v>3</v>
      </c>
      <c r="D241" t="s">
        <v>36</v>
      </c>
      <c r="E241" t="s">
        <v>19</v>
      </c>
      <c r="F241" s="4">
        <v>1281</v>
      </c>
      <c r="G241" s="5">
        <v>18</v>
      </c>
    </row>
    <row r="242" spans="3:7" x14ac:dyDescent="0.3">
      <c r="C242" t="s">
        <v>41</v>
      </c>
      <c r="D242" t="s">
        <v>34</v>
      </c>
      <c r="E242" t="s">
        <v>16</v>
      </c>
      <c r="F242" s="4">
        <v>1274</v>
      </c>
      <c r="G242" s="5">
        <v>225</v>
      </c>
    </row>
    <row r="243" spans="3:7" x14ac:dyDescent="0.3">
      <c r="C243" t="s">
        <v>6</v>
      </c>
      <c r="D243" t="s">
        <v>38</v>
      </c>
      <c r="E243" t="s">
        <v>27</v>
      </c>
      <c r="F243" s="4">
        <v>1134</v>
      </c>
      <c r="G243" s="5">
        <v>282</v>
      </c>
    </row>
    <row r="244" spans="3:7" x14ac:dyDescent="0.3">
      <c r="C244" t="s">
        <v>9</v>
      </c>
      <c r="D244" t="s">
        <v>37</v>
      </c>
      <c r="E244" t="s">
        <v>29</v>
      </c>
      <c r="F244" s="4">
        <v>1085</v>
      </c>
      <c r="G244" s="5">
        <v>273</v>
      </c>
    </row>
    <row r="245" spans="3:7" x14ac:dyDescent="0.3">
      <c r="C245" t="s">
        <v>6</v>
      </c>
      <c r="D245" t="s">
        <v>35</v>
      </c>
      <c r="E245" t="s">
        <v>20</v>
      </c>
      <c r="F245" s="4">
        <v>1071</v>
      </c>
      <c r="G245" s="5">
        <v>270</v>
      </c>
    </row>
    <row r="246" spans="3:7" x14ac:dyDescent="0.3">
      <c r="C246" t="s">
        <v>2</v>
      </c>
      <c r="D246" t="s">
        <v>37</v>
      </c>
      <c r="E246" t="s">
        <v>14</v>
      </c>
      <c r="F246" s="4">
        <v>1057</v>
      </c>
      <c r="G246" s="5">
        <v>54</v>
      </c>
    </row>
    <row r="247" spans="3:7" x14ac:dyDescent="0.3">
      <c r="C247" t="s">
        <v>3</v>
      </c>
      <c r="D247" t="s">
        <v>36</v>
      </c>
      <c r="E247" t="s">
        <v>28</v>
      </c>
      <c r="F247" s="4">
        <v>973</v>
      </c>
      <c r="G247" s="5">
        <v>162</v>
      </c>
    </row>
    <row r="248" spans="3:7" x14ac:dyDescent="0.3">
      <c r="C248" t="s">
        <v>7</v>
      </c>
      <c r="D248" t="s">
        <v>39</v>
      </c>
      <c r="E248" t="s">
        <v>27</v>
      </c>
      <c r="F248" s="4">
        <v>966</v>
      </c>
      <c r="G248" s="5">
        <v>198</v>
      </c>
    </row>
    <row r="249" spans="3:7" x14ac:dyDescent="0.3">
      <c r="C249" t="s">
        <v>9</v>
      </c>
      <c r="D249" t="s">
        <v>35</v>
      </c>
      <c r="E249" t="s">
        <v>4</v>
      </c>
      <c r="F249" s="4">
        <v>959</v>
      </c>
      <c r="G249" s="5">
        <v>147</v>
      </c>
    </row>
    <row r="250" spans="3:7" x14ac:dyDescent="0.3">
      <c r="C250" t="s">
        <v>6</v>
      </c>
      <c r="D250" t="s">
        <v>38</v>
      </c>
      <c r="E250" t="s">
        <v>33</v>
      </c>
      <c r="F250" s="4">
        <v>959</v>
      </c>
      <c r="G250" s="5">
        <v>135</v>
      </c>
    </row>
    <row r="251" spans="3:7" x14ac:dyDescent="0.3">
      <c r="C251" t="s">
        <v>10</v>
      </c>
      <c r="D251" t="s">
        <v>36</v>
      </c>
      <c r="E251" t="s">
        <v>13</v>
      </c>
      <c r="F251" s="4">
        <v>945</v>
      </c>
      <c r="G251" s="5">
        <v>75</v>
      </c>
    </row>
    <row r="252" spans="3:7" x14ac:dyDescent="0.3">
      <c r="C252" t="s">
        <v>6</v>
      </c>
      <c r="D252" t="s">
        <v>38</v>
      </c>
      <c r="E252" t="s">
        <v>16</v>
      </c>
      <c r="F252" s="4">
        <v>938</v>
      </c>
      <c r="G252" s="5">
        <v>6</v>
      </c>
    </row>
    <row r="253" spans="3:7" x14ac:dyDescent="0.3">
      <c r="C253" t="s">
        <v>9</v>
      </c>
      <c r="D253" t="s">
        <v>34</v>
      </c>
      <c r="E253" t="s">
        <v>16</v>
      </c>
      <c r="F253" s="4">
        <v>938</v>
      </c>
      <c r="G253" s="5">
        <v>189</v>
      </c>
    </row>
    <row r="254" spans="3:7" x14ac:dyDescent="0.3">
      <c r="C254" t="s">
        <v>3</v>
      </c>
      <c r="D254" t="s">
        <v>37</v>
      </c>
      <c r="E254" t="s">
        <v>4</v>
      </c>
      <c r="F254" s="4">
        <v>938</v>
      </c>
      <c r="G254" s="5">
        <v>366</v>
      </c>
    </row>
    <row r="255" spans="3:7" x14ac:dyDescent="0.3">
      <c r="C255" t="s">
        <v>5</v>
      </c>
      <c r="D255" t="s">
        <v>34</v>
      </c>
      <c r="E255" t="s">
        <v>19</v>
      </c>
      <c r="F255" s="4">
        <v>861</v>
      </c>
      <c r="G255" s="5">
        <v>195</v>
      </c>
    </row>
    <row r="256" spans="3:7" x14ac:dyDescent="0.3">
      <c r="C256" t="s">
        <v>41</v>
      </c>
      <c r="D256" t="s">
        <v>36</v>
      </c>
      <c r="E256" t="s">
        <v>28</v>
      </c>
      <c r="F256" s="4">
        <v>854</v>
      </c>
      <c r="G256" s="5">
        <v>309</v>
      </c>
    </row>
    <row r="257" spans="3:7" x14ac:dyDescent="0.3">
      <c r="C257" t="s">
        <v>41</v>
      </c>
      <c r="D257" t="s">
        <v>35</v>
      </c>
      <c r="E257" t="s">
        <v>27</v>
      </c>
      <c r="F257" s="4">
        <v>847</v>
      </c>
      <c r="G257" s="5">
        <v>129</v>
      </c>
    </row>
    <row r="258" spans="3:7" x14ac:dyDescent="0.3">
      <c r="C258" t="s">
        <v>8</v>
      </c>
      <c r="D258" t="s">
        <v>38</v>
      </c>
      <c r="E258" t="s">
        <v>13</v>
      </c>
      <c r="F258" s="4">
        <v>819</v>
      </c>
      <c r="G258" s="5">
        <v>510</v>
      </c>
    </row>
    <row r="259" spans="3:7" x14ac:dyDescent="0.3">
      <c r="C259" t="s">
        <v>3</v>
      </c>
      <c r="D259" t="s">
        <v>35</v>
      </c>
      <c r="E259" t="s">
        <v>33</v>
      </c>
      <c r="F259" s="4">
        <v>819</v>
      </c>
      <c r="G259" s="5">
        <v>306</v>
      </c>
    </row>
    <row r="260" spans="3:7" x14ac:dyDescent="0.3">
      <c r="C260" t="s">
        <v>2</v>
      </c>
      <c r="D260" t="s">
        <v>36</v>
      </c>
      <c r="E260" t="s">
        <v>27</v>
      </c>
      <c r="F260" s="4">
        <v>798</v>
      </c>
      <c r="G260" s="5">
        <v>519</v>
      </c>
    </row>
    <row r="261" spans="3:7" x14ac:dyDescent="0.3">
      <c r="C261" t="s">
        <v>41</v>
      </c>
      <c r="D261" t="s">
        <v>37</v>
      </c>
      <c r="E261" t="s">
        <v>15</v>
      </c>
      <c r="F261" s="4">
        <v>714</v>
      </c>
      <c r="G261" s="5">
        <v>231</v>
      </c>
    </row>
    <row r="262" spans="3:7" x14ac:dyDescent="0.3">
      <c r="C262" t="s">
        <v>9</v>
      </c>
      <c r="D262" t="s">
        <v>34</v>
      </c>
      <c r="E262" t="s">
        <v>17</v>
      </c>
      <c r="F262" s="4">
        <v>707</v>
      </c>
      <c r="G262" s="5">
        <v>174</v>
      </c>
    </row>
    <row r="263" spans="3:7" x14ac:dyDescent="0.3">
      <c r="C263" t="s">
        <v>10</v>
      </c>
      <c r="D263" t="s">
        <v>34</v>
      </c>
      <c r="E263" t="s">
        <v>17</v>
      </c>
      <c r="F263" s="4">
        <v>700</v>
      </c>
      <c r="G263" s="5">
        <v>87</v>
      </c>
    </row>
    <row r="264" spans="3:7" x14ac:dyDescent="0.3">
      <c r="C264" t="s">
        <v>2</v>
      </c>
      <c r="D264" t="s">
        <v>39</v>
      </c>
      <c r="E264" t="s">
        <v>23</v>
      </c>
      <c r="F264" s="4">
        <v>630</v>
      </c>
      <c r="G264" s="5">
        <v>36</v>
      </c>
    </row>
    <row r="265" spans="3:7" x14ac:dyDescent="0.3">
      <c r="C265" t="s">
        <v>40</v>
      </c>
      <c r="D265" t="s">
        <v>38</v>
      </c>
      <c r="E265" t="s">
        <v>24</v>
      </c>
      <c r="F265" s="4">
        <v>623</v>
      </c>
      <c r="G265" s="5">
        <v>51</v>
      </c>
    </row>
    <row r="266" spans="3:7" x14ac:dyDescent="0.3">
      <c r="C266" t="s">
        <v>40</v>
      </c>
      <c r="D266" t="s">
        <v>38</v>
      </c>
      <c r="E266" t="s">
        <v>26</v>
      </c>
      <c r="F266" s="4">
        <v>609</v>
      </c>
      <c r="G266" s="5">
        <v>87</v>
      </c>
    </row>
    <row r="267" spans="3:7" x14ac:dyDescent="0.3">
      <c r="C267" t="s">
        <v>41</v>
      </c>
      <c r="D267" t="s">
        <v>35</v>
      </c>
      <c r="E267" t="s">
        <v>19</v>
      </c>
      <c r="F267" s="4">
        <v>609</v>
      </c>
      <c r="G267" s="5">
        <v>99</v>
      </c>
    </row>
    <row r="268" spans="3:7" x14ac:dyDescent="0.3">
      <c r="C268" t="s">
        <v>10</v>
      </c>
      <c r="D268" t="s">
        <v>35</v>
      </c>
      <c r="E268" t="s">
        <v>21</v>
      </c>
      <c r="F268" s="4">
        <v>567</v>
      </c>
      <c r="G268" s="5">
        <v>228</v>
      </c>
    </row>
    <row r="269" spans="3:7" x14ac:dyDescent="0.3">
      <c r="C269" t="s">
        <v>6</v>
      </c>
      <c r="D269" t="s">
        <v>37</v>
      </c>
      <c r="E269" t="s">
        <v>30</v>
      </c>
      <c r="F269" s="4">
        <v>560</v>
      </c>
      <c r="G269" s="5">
        <v>81</v>
      </c>
    </row>
    <row r="270" spans="3:7" x14ac:dyDescent="0.3">
      <c r="C270" t="s">
        <v>2</v>
      </c>
      <c r="D270" t="s">
        <v>35</v>
      </c>
      <c r="E270" t="s">
        <v>19</v>
      </c>
      <c r="F270" s="4">
        <v>553</v>
      </c>
      <c r="G270" s="5">
        <v>15</v>
      </c>
    </row>
    <row r="271" spans="3:7" x14ac:dyDescent="0.3">
      <c r="C271" t="s">
        <v>6</v>
      </c>
      <c r="D271" t="s">
        <v>34</v>
      </c>
      <c r="E271" t="s">
        <v>4</v>
      </c>
      <c r="F271" s="4">
        <v>525</v>
      </c>
      <c r="G271" s="5">
        <v>48</v>
      </c>
    </row>
    <row r="272" spans="3:7" x14ac:dyDescent="0.3">
      <c r="C272" t="s">
        <v>5</v>
      </c>
      <c r="D272" t="s">
        <v>37</v>
      </c>
      <c r="E272" t="s">
        <v>22</v>
      </c>
      <c r="F272" s="4">
        <v>518</v>
      </c>
      <c r="G272" s="5">
        <v>75</v>
      </c>
    </row>
    <row r="273" spans="3:7" x14ac:dyDescent="0.3">
      <c r="C273" t="s">
        <v>6</v>
      </c>
      <c r="D273" t="s">
        <v>36</v>
      </c>
      <c r="E273" t="s">
        <v>21</v>
      </c>
      <c r="F273" s="4">
        <v>497</v>
      </c>
      <c r="G273" s="5">
        <v>63</v>
      </c>
    </row>
    <row r="274" spans="3:7" x14ac:dyDescent="0.3">
      <c r="C274" t="s">
        <v>5</v>
      </c>
      <c r="D274" t="s">
        <v>35</v>
      </c>
      <c r="E274" t="s">
        <v>22</v>
      </c>
      <c r="F274" s="4">
        <v>490</v>
      </c>
      <c r="G274" s="5">
        <v>84</v>
      </c>
    </row>
    <row r="275" spans="3:7" x14ac:dyDescent="0.3">
      <c r="C275" t="s">
        <v>6</v>
      </c>
      <c r="D275" t="s">
        <v>38</v>
      </c>
      <c r="E275" t="s">
        <v>25</v>
      </c>
      <c r="F275" s="4">
        <v>469</v>
      </c>
      <c r="G275" s="5">
        <v>75</v>
      </c>
    </row>
    <row r="276" spans="3:7" x14ac:dyDescent="0.3">
      <c r="C276" t="s">
        <v>8</v>
      </c>
      <c r="D276" t="s">
        <v>37</v>
      </c>
      <c r="E276" t="s">
        <v>21</v>
      </c>
      <c r="F276" s="4">
        <v>434</v>
      </c>
      <c r="G276" s="5">
        <v>87</v>
      </c>
    </row>
    <row r="277" spans="3:7" x14ac:dyDescent="0.3">
      <c r="C277" t="s">
        <v>5</v>
      </c>
      <c r="D277" t="s">
        <v>39</v>
      </c>
      <c r="E277" t="s">
        <v>18</v>
      </c>
      <c r="F277" s="4">
        <v>385</v>
      </c>
      <c r="G277" s="5">
        <v>249</v>
      </c>
    </row>
    <row r="278" spans="3:7" x14ac:dyDescent="0.3">
      <c r="C278" t="s">
        <v>8</v>
      </c>
      <c r="D278" t="s">
        <v>35</v>
      </c>
      <c r="E278" t="s">
        <v>33</v>
      </c>
      <c r="F278" s="4">
        <v>357</v>
      </c>
      <c r="G278" s="5">
        <v>126</v>
      </c>
    </row>
    <row r="279" spans="3:7" x14ac:dyDescent="0.3">
      <c r="C279" t="s">
        <v>41</v>
      </c>
      <c r="D279" t="s">
        <v>34</v>
      </c>
      <c r="E279" t="s">
        <v>22</v>
      </c>
      <c r="F279" s="4">
        <v>336</v>
      </c>
      <c r="G279" s="5">
        <v>144</v>
      </c>
    </row>
    <row r="280" spans="3:7" x14ac:dyDescent="0.3">
      <c r="C280" t="s">
        <v>7</v>
      </c>
      <c r="D280" t="s">
        <v>36</v>
      </c>
      <c r="E280" t="s">
        <v>32</v>
      </c>
      <c r="F280" s="4">
        <v>280</v>
      </c>
      <c r="G280" s="5">
        <v>87</v>
      </c>
    </row>
    <row r="281" spans="3:7" x14ac:dyDescent="0.3">
      <c r="C281" t="s">
        <v>9</v>
      </c>
      <c r="D281" t="s">
        <v>37</v>
      </c>
      <c r="E281" t="s">
        <v>4</v>
      </c>
      <c r="F281" s="4">
        <v>259</v>
      </c>
      <c r="G281" s="5">
        <v>207</v>
      </c>
    </row>
    <row r="282" spans="3:7" x14ac:dyDescent="0.3">
      <c r="C282" t="s">
        <v>2</v>
      </c>
      <c r="D282" t="s">
        <v>34</v>
      </c>
      <c r="E282" t="s">
        <v>13</v>
      </c>
      <c r="F282" s="4">
        <v>252</v>
      </c>
      <c r="G282" s="5">
        <v>54</v>
      </c>
    </row>
    <row r="283" spans="3:7" x14ac:dyDescent="0.3">
      <c r="C283" t="s">
        <v>10</v>
      </c>
      <c r="D283" t="s">
        <v>37</v>
      </c>
      <c r="E283" t="s">
        <v>21</v>
      </c>
      <c r="F283" s="4">
        <v>245</v>
      </c>
      <c r="G283" s="5">
        <v>288</v>
      </c>
    </row>
    <row r="284" spans="3:7" x14ac:dyDescent="0.3">
      <c r="C284" t="s">
        <v>2</v>
      </c>
      <c r="D284" t="s">
        <v>37</v>
      </c>
      <c r="E284" t="s">
        <v>19</v>
      </c>
      <c r="F284" s="4">
        <v>238</v>
      </c>
      <c r="G284" s="5">
        <v>18</v>
      </c>
    </row>
    <row r="285" spans="3:7" x14ac:dyDescent="0.3">
      <c r="C285" t="s">
        <v>40</v>
      </c>
      <c r="D285" t="s">
        <v>36</v>
      </c>
      <c r="E285" t="s">
        <v>4</v>
      </c>
      <c r="F285" s="4">
        <v>217</v>
      </c>
      <c r="G285" s="5">
        <v>36</v>
      </c>
    </row>
    <row r="286" spans="3:7" x14ac:dyDescent="0.3">
      <c r="C286" t="s">
        <v>2</v>
      </c>
      <c r="D286" t="s">
        <v>36</v>
      </c>
      <c r="E286" t="s">
        <v>17</v>
      </c>
      <c r="F286" s="4">
        <v>189</v>
      </c>
      <c r="G286" s="5">
        <v>48</v>
      </c>
    </row>
    <row r="287" spans="3:7" x14ac:dyDescent="0.3">
      <c r="C287" t="s">
        <v>5</v>
      </c>
      <c r="D287" t="s">
        <v>37</v>
      </c>
      <c r="E287" t="s">
        <v>31</v>
      </c>
      <c r="F287" s="4">
        <v>182</v>
      </c>
      <c r="G287" s="5">
        <v>48</v>
      </c>
    </row>
    <row r="288" spans="3:7" x14ac:dyDescent="0.3">
      <c r="C288" t="s">
        <v>8</v>
      </c>
      <c r="D288" t="s">
        <v>38</v>
      </c>
      <c r="E288" t="s">
        <v>22</v>
      </c>
      <c r="F288" s="4">
        <v>168</v>
      </c>
      <c r="G288" s="5">
        <v>84</v>
      </c>
    </row>
    <row r="289" spans="3:7" x14ac:dyDescent="0.3">
      <c r="C289" t="s">
        <v>41</v>
      </c>
      <c r="D289" t="s">
        <v>38</v>
      </c>
      <c r="E289" t="s">
        <v>25</v>
      </c>
      <c r="F289" s="4">
        <v>154</v>
      </c>
      <c r="G289" s="5">
        <v>21</v>
      </c>
    </row>
    <row r="290" spans="3:7" x14ac:dyDescent="0.3">
      <c r="C290" t="s">
        <v>9</v>
      </c>
      <c r="D290" t="s">
        <v>35</v>
      </c>
      <c r="E290" t="s">
        <v>26</v>
      </c>
      <c r="F290" s="4">
        <v>98</v>
      </c>
      <c r="G290" s="5">
        <v>159</v>
      </c>
    </row>
    <row r="291" spans="3:7" x14ac:dyDescent="0.3">
      <c r="C291" t="s">
        <v>41</v>
      </c>
      <c r="D291" t="s">
        <v>36</v>
      </c>
      <c r="E291" t="s">
        <v>26</v>
      </c>
      <c r="F291" s="4">
        <v>98</v>
      </c>
      <c r="G291" s="5">
        <v>204</v>
      </c>
    </row>
    <row r="292" spans="3:7" x14ac:dyDescent="0.3">
      <c r="C292" t="s">
        <v>10</v>
      </c>
      <c r="D292" t="s">
        <v>38</v>
      </c>
      <c r="E292" t="s">
        <v>13</v>
      </c>
      <c r="F292" s="4">
        <v>63</v>
      </c>
      <c r="G292" s="5">
        <v>123</v>
      </c>
    </row>
    <row r="293" spans="3:7" x14ac:dyDescent="0.3">
      <c r="C293" t="s">
        <v>2</v>
      </c>
      <c r="D293" t="s">
        <v>38</v>
      </c>
      <c r="E293" t="s">
        <v>13</v>
      </c>
      <c r="F293" s="4">
        <v>56</v>
      </c>
      <c r="G293" s="5">
        <v>51</v>
      </c>
    </row>
    <row r="294" spans="3:7" x14ac:dyDescent="0.3">
      <c r="C294" t="s">
        <v>8</v>
      </c>
      <c r="D294" t="s">
        <v>37</v>
      </c>
      <c r="E294" t="s">
        <v>30</v>
      </c>
      <c r="F294" s="4">
        <v>42</v>
      </c>
      <c r="G294" s="5">
        <v>150</v>
      </c>
    </row>
    <row r="295" spans="3:7" x14ac:dyDescent="0.3">
      <c r="C295" t="s">
        <v>3</v>
      </c>
      <c r="D295" t="s">
        <v>39</v>
      </c>
      <c r="E295" t="s">
        <v>16</v>
      </c>
      <c r="F295" s="4">
        <v>21</v>
      </c>
      <c r="G295" s="5">
        <v>168</v>
      </c>
    </row>
    <row r="296" spans="3:7" x14ac:dyDescent="0.3">
      <c r="C296" t="s">
        <v>40</v>
      </c>
      <c r="D296" t="s">
        <v>39</v>
      </c>
      <c r="E296" t="s">
        <v>29</v>
      </c>
      <c r="F296" s="4">
        <v>0</v>
      </c>
      <c r="G296" s="5">
        <v>135</v>
      </c>
    </row>
    <row r="297" spans="3:7" hidden="1" x14ac:dyDescent="0.3">
      <c r="C297" t="s">
        <v>41</v>
      </c>
      <c r="D297" t="s">
        <v>36</v>
      </c>
      <c r="E297" t="s">
        <v>13</v>
      </c>
      <c r="F297" s="4">
        <v>10311</v>
      </c>
      <c r="G297" s="5">
        <v>231</v>
      </c>
    </row>
    <row r="298" spans="3:7" hidden="1" x14ac:dyDescent="0.3">
      <c r="C298" t="s">
        <v>2</v>
      </c>
      <c r="D298" t="s">
        <v>36</v>
      </c>
      <c r="E298" t="s">
        <v>16</v>
      </c>
      <c r="F298" s="4">
        <v>11417</v>
      </c>
      <c r="G298" s="5">
        <v>21</v>
      </c>
    </row>
    <row r="299" spans="3:7" hidden="1" x14ac:dyDescent="0.3">
      <c r="C299" t="s">
        <v>9</v>
      </c>
      <c r="D299" t="s">
        <v>36</v>
      </c>
      <c r="E299" t="s">
        <v>27</v>
      </c>
      <c r="F299" s="4">
        <v>11522</v>
      </c>
      <c r="G299" s="5">
        <v>204</v>
      </c>
    </row>
    <row r="300" spans="3:7" hidden="1" x14ac:dyDescent="0.3">
      <c r="C300" t="s">
        <v>2</v>
      </c>
      <c r="D300" t="s">
        <v>37</v>
      </c>
      <c r="E300" t="s">
        <v>18</v>
      </c>
      <c r="F300" s="4">
        <v>11571</v>
      </c>
      <c r="G300" s="5">
        <v>138</v>
      </c>
    </row>
    <row r="301" spans="3:7" hidden="1" x14ac:dyDescent="0.3">
      <c r="C301" t="s">
        <v>40</v>
      </c>
      <c r="D301" t="s">
        <v>35</v>
      </c>
      <c r="E301" t="s">
        <v>32</v>
      </c>
      <c r="F301" s="4">
        <v>12348</v>
      </c>
      <c r="G301" s="5">
        <v>234</v>
      </c>
    </row>
    <row r="302" spans="3:7" hidden="1" x14ac:dyDescent="0.3">
      <c r="C302" t="s">
        <v>10</v>
      </c>
      <c r="D302" t="s">
        <v>39</v>
      </c>
      <c r="E302" t="s">
        <v>33</v>
      </c>
      <c r="F302" s="4">
        <v>12950</v>
      </c>
      <c r="G302" s="5">
        <v>30</v>
      </c>
    </row>
    <row r="303" spans="3:7" hidden="1" x14ac:dyDescent="0.3">
      <c r="C303" t="s">
        <v>5</v>
      </c>
      <c r="D303" t="s">
        <v>35</v>
      </c>
      <c r="E303" t="s">
        <v>15</v>
      </c>
      <c r="F303" s="4">
        <v>13391</v>
      </c>
      <c r="G303" s="5">
        <v>201</v>
      </c>
    </row>
    <row r="304" spans="3:7" hidden="1" x14ac:dyDescent="0.3">
      <c r="C304" t="s">
        <v>9</v>
      </c>
      <c r="D304" t="s">
        <v>34</v>
      </c>
      <c r="E304" t="s">
        <v>28</v>
      </c>
      <c r="F304" s="4">
        <v>14329</v>
      </c>
      <c r="G304" s="5">
        <v>150</v>
      </c>
    </row>
    <row r="305" spans="3:7" hidden="1" x14ac:dyDescent="0.3">
      <c r="C305" t="s">
        <v>5</v>
      </c>
      <c r="D305" t="s">
        <v>34</v>
      </c>
      <c r="E305" t="s">
        <v>20</v>
      </c>
      <c r="F305" s="4">
        <v>15610</v>
      </c>
      <c r="G305" s="5">
        <v>339</v>
      </c>
    </row>
    <row r="306" spans="3:7" hidden="1" x14ac:dyDescent="0.3">
      <c r="C306" t="s">
        <v>5</v>
      </c>
      <c r="D306" t="s">
        <v>36</v>
      </c>
      <c r="E306" t="s">
        <v>16</v>
      </c>
      <c r="F306" s="4">
        <v>16184</v>
      </c>
      <c r="G306" s="5">
        <v>39</v>
      </c>
    </row>
  </sheetData>
  <conditionalFormatting sqref="F1:F1048576">
    <cfRule type="colorScale" priority="1">
      <colorScale>
        <cfvo type="min"/>
        <cfvo type="percentile" val="50"/>
        <cfvo type="max"/>
        <color rgb="FF63BE7B"/>
        <color rgb="FFFCFCFF"/>
        <color rgb="FFF8696B"/>
      </colorScale>
    </cfRule>
    <cfRule type="top10" dxfId="0" priority="3" rank="10"/>
  </conditionalFormatting>
  <conditionalFormatting sqref="G1:G1048576">
    <cfRule type="dataBar" priority="2">
      <dataBar>
        <cfvo type="min"/>
        <cfvo type="max"/>
        <color rgb="FF638EC6"/>
      </dataBar>
      <extLst>
        <ext xmlns:x14="http://schemas.microsoft.com/office/spreadsheetml/2009/9/main" uri="{B025F937-C7B1-47D3-B67F-A62EFF666E3E}">
          <x14:id>{4F3FA7C9-F12C-4DBB-B610-947B510C12D0}</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F3FA7C9-F12C-4DBB-B610-947B510C12D0}">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7E51-2307-4E5D-8EC4-AD1334A4DB19}">
  <dimension ref="C2:F14"/>
  <sheetViews>
    <sheetView showGridLines="0" zoomScale="118" workbookViewId="0">
      <selection activeCell="I6" sqref="A1:XFD1048576"/>
    </sheetView>
  </sheetViews>
  <sheetFormatPr defaultRowHeight="14.4" x14ac:dyDescent="0.3"/>
  <cols>
    <col min="2" max="2" width="9.33203125" customWidth="1"/>
    <col min="3" max="3" width="12.109375" customWidth="1"/>
    <col min="4" max="4" width="10.44140625" style="13" customWidth="1"/>
    <col min="5" max="5" width="8.44140625" style="13" customWidth="1"/>
    <col min="6" max="6" width="8.88671875" customWidth="1"/>
  </cols>
  <sheetData>
    <row r="2" spans="3:6" ht="18.75" customHeight="1" x14ac:dyDescent="0.3"/>
    <row r="3" spans="3:6" ht="18.75" customHeight="1" x14ac:dyDescent="0.3"/>
    <row r="4" spans="3:6" ht="35.25" customHeight="1" x14ac:dyDescent="0.3"/>
    <row r="8" spans="3:6" x14ac:dyDescent="0.3">
      <c r="C8" s="14" t="s">
        <v>67</v>
      </c>
      <c r="D8" s="15" t="s">
        <v>1</v>
      </c>
      <c r="E8" s="15"/>
      <c r="F8" s="16" t="s">
        <v>49</v>
      </c>
    </row>
    <row r="9" spans="3:6" x14ac:dyDescent="0.3">
      <c r="C9" s="17" t="str" cm="1">
        <f t="array" ref="C9:C14">_xlfn.UNIQUE(data[Geography])</f>
        <v>Canada</v>
      </c>
      <c r="D9" s="18">
        <f>SUMIFS(data[Amount],data[Geography],C9)</f>
        <v>237944</v>
      </c>
      <c r="E9" s="18">
        <f>D9</f>
        <v>237944</v>
      </c>
      <c r="F9" s="19">
        <f>SUMIFS(data[Units],data[Geography],C9)</f>
        <v>7302</v>
      </c>
    </row>
    <row r="10" spans="3:6" x14ac:dyDescent="0.3">
      <c r="C10" s="17" t="str">
        <v>India</v>
      </c>
      <c r="D10" s="18">
        <f>SUMIFS(data[Amount],data[Geography],C10)</f>
        <v>252469</v>
      </c>
      <c r="E10" s="18">
        <f t="shared" ref="E10:E14" si="0">D10</f>
        <v>252469</v>
      </c>
      <c r="F10" s="19">
        <f>SUMIFS(data[Units],data[Geography],C10)</f>
        <v>8760</v>
      </c>
    </row>
    <row r="11" spans="3:6" x14ac:dyDescent="0.3">
      <c r="C11" s="17" t="str">
        <v>USA</v>
      </c>
      <c r="D11" s="18">
        <f>SUMIFS(data[Amount],data[Geography],C11)</f>
        <v>189434</v>
      </c>
      <c r="E11" s="18">
        <f t="shared" si="0"/>
        <v>189434</v>
      </c>
      <c r="F11" s="19">
        <f>SUMIFS(data[Units],data[Geography],C11)</f>
        <v>10158</v>
      </c>
    </row>
    <row r="12" spans="3:6" x14ac:dyDescent="0.3">
      <c r="C12" s="17" t="str">
        <v>UK</v>
      </c>
      <c r="D12" s="18">
        <f>SUMIFS(data[Amount],data[Geography],C12)</f>
        <v>173530</v>
      </c>
      <c r="E12" s="18">
        <f t="shared" si="0"/>
        <v>173530</v>
      </c>
      <c r="F12" s="19">
        <f>SUMIFS(data[Units],data[Geography],C12)</f>
        <v>5745</v>
      </c>
    </row>
    <row r="13" spans="3:6" x14ac:dyDescent="0.3">
      <c r="C13" s="17" t="str">
        <v>New Zealand</v>
      </c>
      <c r="D13" s="18">
        <f>SUMIFS(data[Amount],data[Geography],C13)</f>
        <v>218813</v>
      </c>
      <c r="E13" s="18">
        <f t="shared" si="0"/>
        <v>218813</v>
      </c>
      <c r="F13" s="19">
        <f>SUMIFS(data[Units],data[Geography],C13)</f>
        <v>7431</v>
      </c>
    </row>
    <row r="14" spans="3:6" x14ac:dyDescent="0.3">
      <c r="C14" s="17" t="str">
        <v>Australia</v>
      </c>
      <c r="D14" s="18">
        <f>SUMIFS(data[Amount],data[Geography],C14)</f>
        <v>168679</v>
      </c>
      <c r="E14" s="18">
        <f t="shared" si="0"/>
        <v>168679</v>
      </c>
      <c r="F14" s="19">
        <f>SUMIFS(data[Units],data[Geography],C14)</f>
        <v>6264</v>
      </c>
    </row>
  </sheetData>
  <conditionalFormatting sqref="E9:E14">
    <cfRule type="dataBar" priority="1">
      <dataBar showValue="0">
        <cfvo type="min"/>
        <cfvo type="max"/>
        <color rgb="FF638EC6"/>
      </dataBar>
      <extLst>
        <ext xmlns:x14="http://schemas.microsoft.com/office/spreadsheetml/2009/9/main" uri="{B025F937-C7B1-47D3-B67F-A62EFF666E3E}">
          <x14:id>{8D7CB885-C2C1-4319-BA4E-0EED234867C6}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D7CB885-C2C1-4319-BA4E-0EED234867C6}">
            <x14:dataBar minLength="0" maxLength="100" border="1" negativeBarBorderColorSameAsPositive="0">
              <x14:cfvo type="autoMin"/>
              <x14:cfvo type="autoMax"/>
              <x14:borderColor rgb="FF638EC6"/>
              <x14:negativeFillColor rgb="FFFF0000"/>
              <x14:negativeBorderColor rgb="FFFF0000"/>
              <x14:axisColor rgb="FF000000"/>
            </x14:dataBar>
          </x14:cfRule>
          <xm:sqref>E9:E14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29549-AEE3-409B-A432-49852D0C9648}">
  <dimension ref="B2:E23"/>
  <sheetViews>
    <sheetView zoomScale="119" zoomScaleNormal="370" workbookViewId="0">
      <selection activeCell="D5" sqref="D5"/>
    </sheetView>
  </sheetViews>
  <sheetFormatPr defaultRowHeight="14.4" x14ac:dyDescent="0.3"/>
  <cols>
    <col min="1" max="1" width="11.5546875" customWidth="1"/>
    <col min="2" max="2" width="13.109375" bestFit="1" customWidth="1"/>
    <col min="3" max="3" width="14.88671875" bestFit="1" customWidth="1"/>
    <col min="4" max="4" width="15.88671875" style="22" bestFit="1" customWidth="1"/>
    <col min="5" max="5" width="12.109375" style="13" bestFit="1" customWidth="1"/>
    <col min="6" max="8" width="4.6640625" bestFit="1" customWidth="1"/>
    <col min="9" max="46" width="5.6640625" bestFit="1" customWidth="1"/>
    <col min="47" max="257" width="7.33203125" bestFit="1" customWidth="1"/>
    <col min="258" max="270" width="8.33203125" bestFit="1" customWidth="1"/>
    <col min="271" max="271" width="11.33203125" bestFit="1" customWidth="1"/>
    <col min="272" max="272" width="7.33203125" bestFit="1" customWidth="1"/>
    <col min="273" max="273" width="11.88671875" bestFit="1" customWidth="1"/>
    <col min="274" max="274" width="7.33203125" bestFit="1" customWidth="1"/>
    <col min="275" max="275" width="3" bestFit="1" customWidth="1"/>
    <col min="276" max="276" width="4" bestFit="1" customWidth="1"/>
    <col min="277" max="277" width="11.88671875" bestFit="1" customWidth="1"/>
    <col min="278" max="278" width="7.33203125" bestFit="1" customWidth="1"/>
    <col min="279" max="279" width="11.88671875" bestFit="1" customWidth="1"/>
    <col min="280" max="280" width="7.33203125" bestFit="1" customWidth="1"/>
    <col min="281" max="281" width="11.88671875" bestFit="1" customWidth="1"/>
    <col min="282" max="282" width="7.33203125" bestFit="1" customWidth="1"/>
    <col min="283" max="283" width="11.88671875" bestFit="1" customWidth="1"/>
    <col min="284" max="284" width="7.33203125" bestFit="1" customWidth="1"/>
    <col min="285" max="285" width="11.88671875" bestFit="1" customWidth="1"/>
    <col min="286" max="286" width="7.33203125" bestFit="1" customWidth="1"/>
    <col min="287" max="287" width="11.88671875" bestFit="1" customWidth="1"/>
    <col min="288" max="288" width="7.33203125" bestFit="1" customWidth="1"/>
    <col min="289" max="289" width="11.88671875" bestFit="1" customWidth="1"/>
    <col min="290" max="290" width="7.33203125" bestFit="1" customWidth="1"/>
    <col min="291" max="291" width="11.88671875" bestFit="1" customWidth="1"/>
    <col min="292" max="292" width="7.33203125" bestFit="1" customWidth="1"/>
    <col min="293" max="293" width="11.88671875" bestFit="1" customWidth="1"/>
    <col min="294" max="294" width="7.33203125" bestFit="1" customWidth="1"/>
    <col min="295" max="295" width="11.88671875" bestFit="1" customWidth="1"/>
    <col min="296" max="296" width="7.33203125" bestFit="1" customWidth="1"/>
    <col min="297" max="297" width="11.88671875" bestFit="1" customWidth="1"/>
    <col min="298" max="298" width="7.33203125" bestFit="1" customWidth="1"/>
    <col min="299" max="299" width="11.88671875" bestFit="1" customWidth="1"/>
    <col min="300" max="300" width="7.33203125" bestFit="1" customWidth="1"/>
    <col min="301" max="301" width="11.88671875" bestFit="1" customWidth="1"/>
    <col min="302" max="302" width="7.33203125" bestFit="1" customWidth="1"/>
    <col min="303" max="303" width="11.88671875" bestFit="1" customWidth="1"/>
    <col min="304" max="304" width="7.33203125" bestFit="1" customWidth="1"/>
    <col min="305" max="305" width="11.88671875" bestFit="1" customWidth="1"/>
    <col min="306" max="306" width="7.33203125" bestFit="1" customWidth="1"/>
    <col min="307" max="307" width="11.88671875" bestFit="1" customWidth="1"/>
    <col min="308" max="308" width="7.33203125" bestFit="1" customWidth="1"/>
    <col min="309" max="309" width="11.88671875" bestFit="1" customWidth="1"/>
    <col min="310" max="310" width="7.33203125" bestFit="1" customWidth="1"/>
    <col min="311" max="311" width="11.88671875" bestFit="1" customWidth="1"/>
    <col min="312" max="312" width="7.33203125" bestFit="1" customWidth="1"/>
    <col min="313" max="313" width="11.88671875" bestFit="1" customWidth="1"/>
    <col min="314" max="314" width="7.33203125" bestFit="1" customWidth="1"/>
    <col min="315" max="315" width="11.88671875" bestFit="1" customWidth="1"/>
    <col min="316" max="316" width="7.33203125" bestFit="1" customWidth="1"/>
    <col min="317" max="317" width="11.88671875" bestFit="1" customWidth="1"/>
    <col min="318" max="318" width="7.33203125" bestFit="1" customWidth="1"/>
    <col min="319" max="320" width="4" bestFit="1" customWidth="1"/>
    <col min="321" max="321" width="11.88671875" bestFit="1" customWidth="1"/>
    <col min="322" max="322" width="7.33203125" bestFit="1" customWidth="1"/>
    <col min="323" max="323" width="11.88671875" bestFit="1" customWidth="1"/>
    <col min="324" max="324" width="7.33203125" bestFit="1" customWidth="1"/>
    <col min="325" max="325" width="11.88671875" bestFit="1" customWidth="1"/>
    <col min="326" max="326" width="7.33203125" bestFit="1" customWidth="1"/>
    <col min="327" max="327" width="11.88671875" bestFit="1" customWidth="1"/>
    <col min="328" max="328" width="7.33203125" bestFit="1" customWidth="1"/>
    <col min="329" max="329" width="11.88671875" bestFit="1" customWidth="1"/>
    <col min="330" max="330" width="7.33203125" bestFit="1" customWidth="1"/>
    <col min="331" max="331" width="11.88671875" bestFit="1" customWidth="1"/>
    <col min="332" max="332" width="7.33203125" bestFit="1" customWidth="1"/>
    <col min="333" max="333" width="11.88671875" bestFit="1" customWidth="1"/>
    <col min="334" max="334" width="7.33203125" bestFit="1" customWidth="1"/>
    <col min="335" max="335" width="11.88671875" bestFit="1" customWidth="1"/>
    <col min="336" max="336" width="7.33203125" bestFit="1" customWidth="1"/>
    <col min="337" max="337" width="11.88671875" bestFit="1" customWidth="1"/>
    <col min="338" max="338" width="7.33203125" bestFit="1" customWidth="1"/>
    <col min="339" max="339" width="11.88671875" bestFit="1" customWidth="1"/>
    <col min="340" max="340" width="7.33203125" bestFit="1" customWidth="1"/>
    <col min="341" max="341" width="11.88671875" bestFit="1" customWidth="1"/>
    <col min="342" max="342" width="7.33203125" bestFit="1" customWidth="1"/>
    <col min="343" max="343" width="4" bestFit="1" customWidth="1"/>
    <col min="344" max="344" width="11.88671875" bestFit="1" customWidth="1"/>
    <col min="345" max="345" width="7.33203125" bestFit="1" customWidth="1"/>
    <col min="346" max="346" width="11.88671875" bestFit="1" customWidth="1"/>
    <col min="347" max="347" width="7.33203125" bestFit="1" customWidth="1"/>
    <col min="348" max="348" width="11.88671875" bestFit="1" customWidth="1"/>
    <col min="349" max="349" width="7.33203125" bestFit="1" customWidth="1"/>
    <col min="350" max="350" width="11.88671875" bestFit="1" customWidth="1"/>
    <col min="351" max="351" width="7.33203125" bestFit="1" customWidth="1"/>
    <col min="352" max="352" width="11.88671875" bestFit="1" customWidth="1"/>
    <col min="353" max="353" width="7.33203125" bestFit="1" customWidth="1"/>
    <col min="354" max="354" width="11.88671875" bestFit="1" customWidth="1"/>
    <col min="355" max="355" width="7.33203125" bestFit="1" customWidth="1"/>
    <col min="356" max="356" width="4" bestFit="1" customWidth="1"/>
    <col min="357" max="357" width="11.88671875" bestFit="1" customWidth="1"/>
    <col min="358" max="358" width="7.33203125" bestFit="1" customWidth="1"/>
    <col min="359" max="359" width="11.88671875" bestFit="1" customWidth="1"/>
    <col min="360" max="360" width="7.33203125" bestFit="1" customWidth="1"/>
    <col min="361" max="361" width="11.88671875" bestFit="1" customWidth="1"/>
    <col min="362" max="362" width="7.33203125" bestFit="1" customWidth="1"/>
    <col min="363" max="363" width="11.88671875" bestFit="1" customWidth="1"/>
    <col min="364" max="364" width="7.33203125" bestFit="1" customWidth="1"/>
    <col min="365" max="365" width="11.88671875" bestFit="1" customWidth="1"/>
    <col min="366" max="366" width="7.33203125" bestFit="1" customWidth="1"/>
    <col min="367" max="367" width="11.88671875" bestFit="1" customWidth="1"/>
    <col min="368" max="368" width="7.33203125" bestFit="1" customWidth="1"/>
    <col min="369" max="369" width="11.88671875" bestFit="1" customWidth="1"/>
    <col min="370" max="370" width="7.33203125" bestFit="1" customWidth="1"/>
    <col min="371" max="371" width="11.88671875" bestFit="1" customWidth="1"/>
    <col min="372" max="372" width="7.33203125" bestFit="1" customWidth="1"/>
    <col min="373" max="373" width="11.88671875" bestFit="1" customWidth="1"/>
    <col min="374" max="374" width="7.33203125" bestFit="1" customWidth="1"/>
    <col min="375" max="375" width="3" bestFit="1" customWidth="1"/>
    <col min="376" max="376" width="11.88671875" bestFit="1" customWidth="1"/>
    <col min="377" max="377" width="7.33203125" bestFit="1" customWidth="1"/>
    <col min="378" max="378" width="11.88671875" bestFit="1" customWidth="1"/>
    <col min="379" max="379" width="7.33203125" bestFit="1" customWidth="1"/>
    <col min="380" max="380" width="4" bestFit="1" customWidth="1"/>
    <col min="381" max="381" width="11.88671875" bestFit="1" customWidth="1"/>
    <col min="382" max="382" width="7.33203125" bestFit="1" customWidth="1"/>
    <col min="383" max="383" width="11.88671875" bestFit="1" customWidth="1"/>
    <col min="384" max="384" width="7.33203125" bestFit="1" customWidth="1"/>
    <col min="385" max="385" width="11.88671875" bestFit="1" customWidth="1"/>
    <col min="386" max="386" width="7.33203125" bestFit="1" customWidth="1"/>
    <col min="387" max="387" width="11.88671875" bestFit="1" customWidth="1"/>
    <col min="388" max="388" width="7.33203125" bestFit="1" customWidth="1"/>
    <col min="389" max="389" width="11.88671875" bestFit="1" customWidth="1"/>
    <col min="390" max="390" width="7.33203125" bestFit="1" customWidth="1"/>
    <col min="391" max="391" width="11.88671875" bestFit="1" customWidth="1"/>
    <col min="392" max="392" width="7.33203125" bestFit="1" customWidth="1"/>
    <col min="393" max="393" width="11.88671875" bestFit="1" customWidth="1"/>
    <col min="394" max="394" width="7.33203125" bestFit="1" customWidth="1"/>
    <col min="395" max="395" width="11.88671875" bestFit="1" customWidth="1"/>
    <col min="396" max="396" width="7.33203125" bestFit="1" customWidth="1"/>
    <col min="397" max="397" width="11.88671875" bestFit="1" customWidth="1"/>
    <col min="398" max="398" width="7.33203125" bestFit="1" customWidth="1"/>
    <col min="399" max="399" width="11.88671875" bestFit="1" customWidth="1"/>
    <col min="400" max="400" width="7.33203125" bestFit="1" customWidth="1"/>
    <col min="401" max="401" width="11.88671875" bestFit="1" customWidth="1"/>
    <col min="402" max="402" width="7.33203125" bestFit="1" customWidth="1"/>
    <col min="403" max="403" width="11.88671875" bestFit="1" customWidth="1"/>
    <col min="404" max="404" width="7.33203125" bestFit="1" customWidth="1"/>
    <col min="405" max="405" width="11.88671875" bestFit="1" customWidth="1"/>
    <col min="406" max="406" width="7.33203125" bestFit="1" customWidth="1"/>
    <col min="407" max="407" width="11.88671875" bestFit="1" customWidth="1"/>
    <col min="408" max="408" width="7.33203125" bestFit="1" customWidth="1"/>
    <col min="409" max="409" width="11.88671875" bestFit="1" customWidth="1"/>
    <col min="410" max="410" width="7.33203125" bestFit="1" customWidth="1"/>
    <col min="411" max="411" width="11.88671875" bestFit="1" customWidth="1"/>
    <col min="412" max="412" width="7.33203125" bestFit="1" customWidth="1"/>
    <col min="413" max="413" width="11.88671875" bestFit="1" customWidth="1"/>
    <col min="414" max="414" width="7.33203125" bestFit="1" customWidth="1"/>
    <col min="415" max="415" width="11.88671875" bestFit="1" customWidth="1"/>
    <col min="416" max="416" width="7.33203125" bestFit="1" customWidth="1"/>
    <col min="417" max="417" width="4" bestFit="1" customWidth="1"/>
    <col min="418" max="418" width="11.88671875" bestFit="1" customWidth="1"/>
    <col min="419" max="419" width="7.33203125" bestFit="1" customWidth="1"/>
    <col min="420" max="420" width="11.88671875" bestFit="1" customWidth="1"/>
    <col min="421" max="421" width="7.33203125" bestFit="1" customWidth="1"/>
    <col min="422" max="422" width="11.88671875" bestFit="1" customWidth="1"/>
    <col min="423" max="423" width="7.33203125" bestFit="1" customWidth="1"/>
    <col min="424" max="424" width="11.88671875" bestFit="1" customWidth="1"/>
    <col min="425" max="425" width="7.33203125" bestFit="1" customWidth="1"/>
    <col min="426" max="426" width="4" bestFit="1" customWidth="1"/>
    <col min="427" max="427" width="11.88671875" bestFit="1" customWidth="1"/>
    <col min="428" max="428" width="7.33203125" bestFit="1" customWidth="1"/>
    <col min="429" max="429" width="11.88671875" bestFit="1" customWidth="1"/>
    <col min="430" max="430" width="7.33203125" bestFit="1" customWidth="1"/>
    <col min="431" max="431" width="11.88671875" bestFit="1" customWidth="1"/>
    <col min="432" max="432" width="7.33203125" bestFit="1" customWidth="1"/>
    <col min="433" max="433" width="11.88671875" bestFit="1" customWidth="1"/>
    <col min="434" max="434" width="7.33203125" bestFit="1" customWidth="1"/>
    <col min="435" max="435" width="11.88671875" bestFit="1" customWidth="1"/>
    <col min="436" max="436" width="7.33203125" bestFit="1" customWidth="1"/>
    <col min="437" max="437" width="11.88671875" bestFit="1" customWidth="1"/>
    <col min="438" max="438" width="7.33203125" bestFit="1" customWidth="1"/>
    <col min="439" max="439" width="11.88671875" bestFit="1" customWidth="1"/>
    <col min="440" max="440" width="7.33203125" bestFit="1" customWidth="1"/>
    <col min="441" max="441" width="11.88671875" bestFit="1" customWidth="1"/>
    <col min="442" max="442" width="7.33203125" bestFit="1" customWidth="1"/>
    <col min="443" max="443" width="11.88671875" bestFit="1" customWidth="1"/>
    <col min="444" max="444" width="7.33203125" bestFit="1" customWidth="1"/>
    <col min="445" max="445" width="11.88671875" bestFit="1" customWidth="1"/>
    <col min="446" max="446" width="7.33203125" bestFit="1" customWidth="1"/>
    <col min="447" max="447" width="4" bestFit="1" customWidth="1"/>
    <col min="448" max="448" width="11.88671875" bestFit="1" customWidth="1"/>
    <col min="449" max="449" width="7.33203125" bestFit="1" customWidth="1"/>
    <col min="450" max="450" width="11.88671875" bestFit="1" customWidth="1"/>
    <col min="451" max="451" width="7.33203125" bestFit="1" customWidth="1"/>
    <col min="452" max="452" width="11.88671875" bestFit="1" customWidth="1"/>
    <col min="453" max="453" width="7.33203125" bestFit="1" customWidth="1"/>
    <col min="454" max="454" width="11.88671875" bestFit="1" customWidth="1"/>
    <col min="455" max="455" width="7.33203125" bestFit="1" customWidth="1"/>
    <col min="456" max="456" width="11.88671875" bestFit="1" customWidth="1"/>
    <col min="457" max="457" width="7.33203125" bestFit="1" customWidth="1"/>
    <col min="458" max="458" width="11.88671875" bestFit="1" customWidth="1"/>
    <col min="459" max="459" width="7.33203125" bestFit="1" customWidth="1"/>
    <col min="460" max="460" width="11.88671875" bestFit="1" customWidth="1"/>
    <col min="461" max="461" width="7.33203125" bestFit="1" customWidth="1"/>
    <col min="462" max="462" width="11.88671875" bestFit="1" customWidth="1"/>
    <col min="463" max="463" width="7.33203125" bestFit="1" customWidth="1"/>
    <col min="464" max="464" width="11.88671875" bestFit="1" customWidth="1"/>
    <col min="465" max="465" width="7.33203125" bestFit="1" customWidth="1"/>
    <col min="466" max="466" width="11.88671875" bestFit="1" customWidth="1"/>
    <col min="467" max="467" width="7.33203125" bestFit="1" customWidth="1"/>
    <col min="468" max="468" width="11.88671875" bestFit="1" customWidth="1"/>
    <col min="469" max="469" width="7.33203125" bestFit="1" customWidth="1"/>
    <col min="470" max="470" width="11.88671875" bestFit="1" customWidth="1"/>
    <col min="471" max="471" width="7.33203125" bestFit="1" customWidth="1"/>
    <col min="472" max="472" width="11.88671875" bestFit="1" customWidth="1"/>
    <col min="473" max="473" width="7.33203125" bestFit="1" customWidth="1"/>
    <col min="474" max="474" width="11.88671875" bestFit="1" customWidth="1"/>
    <col min="475" max="475" width="7.33203125" bestFit="1" customWidth="1"/>
    <col min="476" max="476" width="11.88671875" bestFit="1" customWidth="1"/>
    <col min="477" max="477" width="7.33203125" bestFit="1" customWidth="1"/>
    <col min="478" max="478" width="11.88671875" bestFit="1" customWidth="1"/>
    <col min="479" max="479" width="7.33203125" bestFit="1" customWidth="1"/>
    <col min="480" max="480" width="11.88671875" bestFit="1" customWidth="1"/>
    <col min="481" max="481" width="7.33203125" bestFit="1" customWidth="1"/>
    <col min="482" max="482" width="11.88671875" bestFit="1" customWidth="1"/>
    <col min="483" max="483" width="7.33203125" bestFit="1" customWidth="1"/>
    <col min="484" max="484" width="11.88671875" bestFit="1" customWidth="1"/>
    <col min="485" max="485" width="7.33203125" bestFit="1" customWidth="1"/>
    <col min="486" max="486" width="11.88671875" bestFit="1" customWidth="1"/>
    <col min="487" max="487" width="7.33203125" bestFit="1" customWidth="1"/>
    <col min="488" max="488" width="11.88671875" bestFit="1" customWidth="1"/>
    <col min="489" max="489" width="7.33203125" bestFit="1" customWidth="1"/>
    <col min="490" max="490" width="11.88671875" bestFit="1" customWidth="1"/>
    <col min="491" max="491" width="7.33203125" bestFit="1" customWidth="1"/>
    <col min="492" max="492" width="3" bestFit="1" customWidth="1"/>
    <col min="493" max="493" width="11.88671875" bestFit="1" customWidth="1"/>
    <col min="494" max="494" width="7.33203125" bestFit="1" customWidth="1"/>
    <col min="495" max="495" width="4" bestFit="1" customWidth="1"/>
    <col min="496" max="496" width="11.88671875" bestFit="1" customWidth="1"/>
    <col min="497" max="497" width="7.33203125" bestFit="1" customWidth="1"/>
    <col min="498" max="498" width="11.88671875" bestFit="1" customWidth="1"/>
    <col min="499" max="499" width="7.33203125" bestFit="1" customWidth="1"/>
    <col min="500" max="500" width="11.88671875" bestFit="1" customWidth="1"/>
    <col min="501" max="501" width="7.33203125" bestFit="1" customWidth="1"/>
    <col min="502" max="502" width="11.88671875" bestFit="1" customWidth="1"/>
    <col min="503" max="503" width="7.33203125" bestFit="1" customWidth="1"/>
    <col min="504" max="504" width="11.88671875" bestFit="1" customWidth="1"/>
    <col min="505" max="505" width="7.33203125" bestFit="1" customWidth="1"/>
    <col min="506" max="506" width="11.88671875" bestFit="1" customWidth="1"/>
    <col min="507" max="507" width="7.33203125" bestFit="1" customWidth="1"/>
    <col min="508" max="508" width="11.88671875" bestFit="1" customWidth="1"/>
    <col min="509" max="509" width="7.33203125" bestFit="1" customWidth="1"/>
    <col min="510" max="510" width="11.88671875" bestFit="1" customWidth="1"/>
    <col min="511" max="511" width="7.33203125" bestFit="1" customWidth="1"/>
    <col min="512" max="512" width="11.88671875" bestFit="1" customWidth="1"/>
    <col min="513" max="513" width="7.33203125" bestFit="1" customWidth="1"/>
    <col min="514" max="514" width="11.88671875" bestFit="1" customWidth="1"/>
    <col min="515" max="515" width="7.33203125" bestFit="1" customWidth="1"/>
    <col min="516" max="516" width="11.88671875" bestFit="1" customWidth="1"/>
    <col min="517" max="517" width="7.33203125" bestFit="1" customWidth="1"/>
    <col min="518" max="518" width="11.88671875" bestFit="1" customWidth="1"/>
    <col min="519" max="519" width="7.33203125" bestFit="1" customWidth="1"/>
    <col min="520" max="520" width="11.88671875" bestFit="1" customWidth="1"/>
    <col min="521" max="521" width="7.33203125" bestFit="1" customWidth="1"/>
    <col min="522" max="522" width="11.88671875" bestFit="1" customWidth="1"/>
    <col min="523" max="523" width="7.33203125" bestFit="1" customWidth="1"/>
    <col min="524" max="524" width="11.88671875" bestFit="1" customWidth="1"/>
    <col min="525" max="525" width="7.33203125" bestFit="1" customWidth="1"/>
    <col min="526" max="526" width="11.88671875" bestFit="1" customWidth="1"/>
    <col min="527" max="527" width="7.33203125" bestFit="1" customWidth="1"/>
    <col min="528" max="528" width="11.88671875" bestFit="1" customWidth="1"/>
    <col min="529" max="529" width="7.33203125" bestFit="1" customWidth="1"/>
    <col min="530" max="530" width="11.88671875" bestFit="1" customWidth="1"/>
    <col min="531" max="531" width="7.33203125" bestFit="1" customWidth="1"/>
    <col min="532" max="532" width="11.88671875" bestFit="1" customWidth="1"/>
    <col min="533" max="533" width="7.33203125" bestFit="1" customWidth="1"/>
    <col min="534" max="534" width="11.88671875" bestFit="1" customWidth="1"/>
    <col min="535" max="535" width="7.33203125" bestFit="1" customWidth="1"/>
    <col min="536" max="536" width="11.88671875" bestFit="1" customWidth="1"/>
    <col min="537" max="537" width="7.33203125" bestFit="1" customWidth="1"/>
    <col min="538" max="538" width="11.88671875" bestFit="1" customWidth="1"/>
    <col min="539" max="539" width="7.33203125" bestFit="1" customWidth="1"/>
    <col min="540" max="540" width="11.88671875" bestFit="1" customWidth="1"/>
    <col min="541" max="541" width="7.33203125" bestFit="1" customWidth="1"/>
    <col min="542" max="542" width="11.88671875" bestFit="1" customWidth="1"/>
    <col min="543" max="543" width="7.33203125" bestFit="1" customWidth="1"/>
    <col min="544" max="544" width="11.88671875" bestFit="1" customWidth="1"/>
    <col min="545" max="545" width="8.33203125" bestFit="1" customWidth="1"/>
    <col min="546" max="546" width="12.88671875" bestFit="1" customWidth="1"/>
    <col min="547" max="547" width="8.33203125" bestFit="1" customWidth="1"/>
    <col min="548" max="548" width="12.88671875" bestFit="1" customWidth="1"/>
    <col min="549" max="549" width="8.33203125" bestFit="1" customWidth="1"/>
    <col min="550" max="550" width="12.88671875" bestFit="1" customWidth="1"/>
    <col min="551" max="551" width="8.33203125" bestFit="1" customWidth="1"/>
    <col min="552" max="552" width="12.88671875" bestFit="1" customWidth="1"/>
    <col min="553" max="553" width="8.33203125" bestFit="1" customWidth="1"/>
    <col min="554" max="554" width="12.88671875" bestFit="1" customWidth="1"/>
    <col min="555" max="555" width="8.33203125" bestFit="1" customWidth="1"/>
    <col min="556" max="556" width="12.88671875" bestFit="1" customWidth="1"/>
    <col min="557" max="557" width="8.33203125" bestFit="1" customWidth="1"/>
    <col min="558" max="558" width="12.88671875" bestFit="1" customWidth="1"/>
    <col min="559" max="559" width="8.33203125" bestFit="1" customWidth="1"/>
    <col min="560" max="560" width="12.88671875" bestFit="1" customWidth="1"/>
    <col min="561" max="561" width="8.33203125" bestFit="1" customWidth="1"/>
    <col min="562" max="562" width="12.88671875" bestFit="1" customWidth="1"/>
    <col min="563" max="563" width="8.33203125" bestFit="1" customWidth="1"/>
    <col min="564" max="564" width="12.88671875" bestFit="1" customWidth="1"/>
    <col min="565" max="565" width="8.33203125" bestFit="1" customWidth="1"/>
    <col min="566" max="566" width="12.88671875" bestFit="1" customWidth="1"/>
    <col min="567" max="567" width="8.33203125" bestFit="1" customWidth="1"/>
    <col min="568" max="568" width="12.88671875" bestFit="1" customWidth="1"/>
    <col min="569" max="569" width="8.33203125" bestFit="1" customWidth="1"/>
    <col min="570" max="570" width="12.88671875" bestFit="1" customWidth="1"/>
    <col min="571" max="571" width="11.33203125" bestFit="1" customWidth="1"/>
  </cols>
  <sheetData>
    <row r="2" spans="2:5" ht="18.75" customHeight="1" x14ac:dyDescent="0.3"/>
    <row r="3" spans="2:5" ht="18.75" customHeight="1" x14ac:dyDescent="0.3"/>
    <row r="4" spans="2:5" ht="35.25" customHeight="1" x14ac:dyDescent="0.3"/>
    <row r="6" spans="2:5" x14ac:dyDescent="0.3">
      <c r="B6" s="20" t="s">
        <v>68</v>
      </c>
      <c r="C6" t="s">
        <v>69</v>
      </c>
      <c r="D6" t="s">
        <v>72</v>
      </c>
      <c r="E6" t="s">
        <v>70</v>
      </c>
    </row>
    <row r="7" spans="2:5" ht="19.5" customHeight="1" x14ac:dyDescent="0.3">
      <c r="B7" s="21" t="s">
        <v>34</v>
      </c>
      <c r="C7" s="4">
        <v>252469</v>
      </c>
      <c r="D7" s="4">
        <v>252469</v>
      </c>
      <c r="E7" s="5">
        <v>8760</v>
      </c>
    </row>
    <row r="8" spans="2:5" x14ac:dyDescent="0.3">
      <c r="B8" s="21" t="s">
        <v>36</v>
      </c>
      <c r="C8" s="4">
        <v>237944</v>
      </c>
      <c r="D8" s="4">
        <v>237944</v>
      </c>
      <c r="E8" s="5">
        <v>7302</v>
      </c>
    </row>
    <row r="9" spans="2:5" x14ac:dyDescent="0.3">
      <c r="B9" s="21" t="s">
        <v>37</v>
      </c>
      <c r="C9" s="4">
        <v>218813</v>
      </c>
      <c r="D9" s="4">
        <v>218813</v>
      </c>
      <c r="E9" s="5">
        <v>7431</v>
      </c>
    </row>
    <row r="10" spans="2:5" x14ac:dyDescent="0.3">
      <c r="B10" s="21" t="s">
        <v>35</v>
      </c>
      <c r="C10" s="4">
        <v>189434</v>
      </c>
      <c r="D10" s="4">
        <v>189434</v>
      </c>
      <c r="E10" s="5">
        <v>10158</v>
      </c>
    </row>
    <row r="11" spans="2:5" x14ac:dyDescent="0.3">
      <c r="B11" s="21" t="s">
        <v>39</v>
      </c>
      <c r="C11" s="4">
        <v>173530</v>
      </c>
      <c r="D11" s="4">
        <v>173530</v>
      </c>
      <c r="E11" s="5">
        <v>5745</v>
      </c>
    </row>
    <row r="12" spans="2:5" x14ac:dyDescent="0.3">
      <c r="B12" s="21" t="s">
        <v>38</v>
      </c>
      <c r="C12" s="4">
        <v>168679</v>
      </c>
      <c r="D12" s="4">
        <v>168679</v>
      </c>
      <c r="E12" s="5">
        <v>6264</v>
      </c>
    </row>
    <row r="13" spans="2:5" x14ac:dyDescent="0.3">
      <c r="D13"/>
      <c r="E13"/>
    </row>
    <row r="14" spans="2:5" x14ac:dyDescent="0.3">
      <c r="D14"/>
      <c r="E14"/>
    </row>
    <row r="15" spans="2:5" x14ac:dyDescent="0.3">
      <c r="D15"/>
      <c r="E15"/>
    </row>
    <row r="16" spans="2:5" x14ac:dyDescent="0.3">
      <c r="D16"/>
    </row>
    <row r="17" spans="4:4" x14ac:dyDescent="0.3">
      <c r="D17"/>
    </row>
    <row r="18" spans="4:4" x14ac:dyDescent="0.3">
      <c r="D18"/>
    </row>
    <row r="19" spans="4:4" x14ac:dyDescent="0.3">
      <c r="D19"/>
    </row>
    <row r="20" spans="4:4" x14ac:dyDescent="0.3">
      <c r="D20"/>
    </row>
    <row r="21" spans="4:4" x14ac:dyDescent="0.3">
      <c r="D21"/>
    </row>
    <row r="22" spans="4:4" x14ac:dyDescent="0.3">
      <c r="D22"/>
    </row>
    <row r="23" spans="4:4" x14ac:dyDescent="0.3">
      <c r="D23"/>
    </row>
  </sheetData>
  <conditionalFormatting pivot="1" sqref="D7:D12">
    <cfRule type="dataBar" priority="1">
      <dataBar showValue="0">
        <cfvo type="min"/>
        <cfvo type="max"/>
        <color rgb="FF638EC6"/>
      </dataBar>
      <extLst>
        <ext xmlns:x14="http://schemas.microsoft.com/office/spreadsheetml/2009/9/main" uri="{B025F937-C7B1-47D3-B67F-A62EFF666E3E}">
          <x14:id>{6A61D565-5606-4098-AA23-7AA32C97C87A}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6A61D565-5606-4098-AA23-7AA32C97C87A}">
            <x14:dataBar minLength="0" maxLength="100" gradient="0">
              <x14:cfvo type="autoMin"/>
              <x14:cfvo type="autoMax"/>
              <x14:negativeFillColor rgb="FFFF0000"/>
              <x14:axisColor rgb="FF000000"/>
            </x14:dataBar>
          </x14:cfRule>
          <xm:sqref>D7:D12</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0A72-6F40-4185-BAC8-978CA63190A6}">
  <dimension ref="A3:D26"/>
  <sheetViews>
    <sheetView workbookViewId="0">
      <selection activeCell="B4" sqref="B4"/>
    </sheetView>
  </sheetViews>
  <sheetFormatPr defaultRowHeight="14.4" x14ac:dyDescent="0.3"/>
  <cols>
    <col min="1" max="1" width="19.44140625" bestFit="1" customWidth="1"/>
    <col min="2" max="2" width="13.109375" style="13" bestFit="1" customWidth="1"/>
    <col min="3" max="3" width="13.109375" style="5" bestFit="1" customWidth="1"/>
    <col min="4" max="4" width="13.109375" style="24" bestFit="1" customWidth="1"/>
  </cols>
  <sheetData>
    <row r="3" spans="1:4" x14ac:dyDescent="0.3">
      <c r="A3" s="20" t="s">
        <v>68</v>
      </c>
      <c r="B3" t="s">
        <v>73</v>
      </c>
      <c r="C3"/>
      <c r="D3"/>
    </row>
    <row r="4" spans="1:4" x14ac:dyDescent="0.3">
      <c r="A4" s="21" t="s">
        <v>15</v>
      </c>
      <c r="B4" s="24">
        <v>44.990867579908674</v>
      </c>
      <c r="C4"/>
      <c r="D4"/>
    </row>
    <row r="5" spans="1:4" x14ac:dyDescent="0.3">
      <c r="A5" s="21" t="s">
        <v>33</v>
      </c>
      <c r="B5" s="24">
        <v>37.303128371089535</v>
      </c>
      <c r="C5"/>
      <c r="D5"/>
    </row>
    <row r="6" spans="1:4" x14ac:dyDescent="0.3">
      <c r="A6" s="21" t="s">
        <v>24</v>
      </c>
      <c r="B6" s="24">
        <v>33.88697318007663</v>
      </c>
      <c r="C6"/>
      <c r="D6"/>
    </row>
    <row r="7" spans="1:4" x14ac:dyDescent="0.3">
      <c r="A7" s="21" t="s">
        <v>26</v>
      </c>
      <c r="B7" s="24">
        <v>32.807189542483663</v>
      </c>
      <c r="C7"/>
      <c r="D7"/>
    </row>
    <row r="8" spans="1:4" x14ac:dyDescent="0.3">
      <c r="A8" s="21" t="s">
        <v>22</v>
      </c>
      <c r="B8" s="24">
        <v>32.301656920077974</v>
      </c>
      <c r="C8"/>
      <c r="D8"/>
    </row>
    <row r="9" spans="1:4" x14ac:dyDescent="0.3">
      <c r="A9" s="21" t="s">
        <v>71</v>
      </c>
      <c r="B9" s="24">
        <v>35.949565217391303</v>
      </c>
      <c r="C9"/>
      <c r="D9"/>
    </row>
    <row r="10" spans="1:4" x14ac:dyDescent="0.3">
      <c r="B10"/>
      <c r="C10"/>
      <c r="D10"/>
    </row>
    <row r="11" spans="1:4" x14ac:dyDescent="0.3">
      <c r="B11"/>
      <c r="C11"/>
      <c r="D11"/>
    </row>
    <row r="12" spans="1:4" x14ac:dyDescent="0.3">
      <c r="B12"/>
      <c r="C12"/>
      <c r="D12"/>
    </row>
    <row r="13" spans="1:4" x14ac:dyDescent="0.3">
      <c r="B13"/>
      <c r="C13"/>
      <c r="D13"/>
    </row>
    <row r="14" spans="1:4" x14ac:dyDescent="0.3">
      <c r="B14"/>
      <c r="C14"/>
      <c r="D14"/>
    </row>
    <row r="15" spans="1:4" x14ac:dyDescent="0.3">
      <c r="B15"/>
      <c r="C15"/>
      <c r="D15"/>
    </row>
    <row r="16" spans="1:4" x14ac:dyDescent="0.3">
      <c r="B16"/>
      <c r="C16"/>
      <c r="D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B4337-28B6-4BA2-BD1E-C800D23FA0B0}">
  <dimension ref="D2:X307"/>
  <sheetViews>
    <sheetView zoomScale="99" zoomScaleNormal="70" workbookViewId="0">
      <selection activeCell="S7" sqref="S7:X307"/>
    </sheetView>
  </sheetViews>
  <sheetFormatPr defaultRowHeight="14.4" x14ac:dyDescent="0.3"/>
  <cols>
    <col min="2" max="2" width="9.33203125" customWidth="1"/>
    <col min="3" max="3" width="12.109375" customWidth="1"/>
    <col min="4" max="4" width="10.44140625" style="13" customWidth="1"/>
    <col min="5" max="5" width="8.44140625" style="13" customWidth="1"/>
    <col min="6" max="6" width="21.88671875" bestFit="1" customWidth="1"/>
    <col min="7" max="7" width="14.88671875" bestFit="1" customWidth="1"/>
    <col min="8" max="8" width="12.33203125" bestFit="1" customWidth="1"/>
    <col min="19" max="19" width="11.109375" bestFit="1" customWidth="1"/>
    <col min="20" max="20" width="16" bestFit="1" customWidth="1"/>
    <col min="21" max="21" width="13" bestFit="1" customWidth="1"/>
    <col min="22" max="22" width="21.88671875" bestFit="1" customWidth="1"/>
    <col min="23" max="23" width="8.33203125" bestFit="1" customWidth="1"/>
    <col min="24" max="24" width="5.6640625" bestFit="1" customWidth="1"/>
  </cols>
  <sheetData>
    <row r="2" spans="4:24" ht="18.75" customHeight="1" x14ac:dyDescent="0.3"/>
    <row r="3" spans="4:24" ht="18.75" customHeight="1" x14ac:dyDescent="0.3"/>
    <row r="4" spans="4:24" ht="35.25" customHeight="1" x14ac:dyDescent="0.3"/>
    <row r="7" spans="4:24" x14ac:dyDescent="0.3">
      <c r="S7" t="s">
        <v>56</v>
      </c>
      <c r="T7" s="6" t="s">
        <v>11</v>
      </c>
      <c r="U7" s="6" t="s">
        <v>12</v>
      </c>
      <c r="V7" s="6" t="s">
        <v>0</v>
      </c>
      <c r="W7" s="10" t="s">
        <v>1</v>
      </c>
      <c r="X7" s="10" t="s">
        <v>49</v>
      </c>
    </row>
    <row r="8" spans="4:24" x14ac:dyDescent="0.3">
      <c r="D8"/>
      <c r="E8"/>
      <c r="F8" s="23"/>
      <c r="T8" t="s">
        <v>5</v>
      </c>
      <c r="U8" t="s">
        <v>36</v>
      </c>
      <c r="V8" t="s">
        <v>16</v>
      </c>
      <c r="W8" s="4">
        <v>16184</v>
      </c>
      <c r="X8" s="5">
        <v>39</v>
      </c>
    </row>
    <row r="9" spans="4:24" x14ac:dyDescent="0.3">
      <c r="D9"/>
      <c r="E9"/>
      <c r="F9" s="19"/>
      <c r="T9" t="s">
        <v>5</v>
      </c>
      <c r="U9" t="s">
        <v>34</v>
      </c>
      <c r="V9" t="s">
        <v>20</v>
      </c>
      <c r="W9" s="4">
        <v>15610</v>
      </c>
      <c r="X9" s="5">
        <v>339</v>
      </c>
    </row>
    <row r="10" spans="4:24" x14ac:dyDescent="0.3">
      <c r="D10"/>
      <c r="E10"/>
      <c r="F10" s="19"/>
      <c r="T10" t="s">
        <v>9</v>
      </c>
      <c r="U10" t="s">
        <v>34</v>
      </c>
      <c r="V10" t="s">
        <v>28</v>
      </c>
      <c r="W10" s="4">
        <v>14329</v>
      </c>
      <c r="X10" s="5">
        <v>150</v>
      </c>
    </row>
    <row r="11" spans="4:24" x14ac:dyDescent="0.3">
      <c r="D11"/>
      <c r="E11"/>
      <c r="F11" s="19"/>
      <c r="T11" t="s">
        <v>5</v>
      </c>
      <c r="U11" t="s">
        <v>35</v>
      </c>
      <c r="V11" t="s">
        <v>15</v>
      </c>
      <c r="W11" s="4">
        <v>13391</v>
      </c>
      <c r="X11" s="5">
        <v>201</v>
      </c>
    </row>
    <row r="12" spans="4:24" x14ac:dyDescent="0.3">
      <c r="D12"/>
      <c r="E12"/>
      <c r="F12" s="19"/>
      <c r="T12" t="s">
        <v>10</v>
      </c>
      <c r="U12" t="s">
        <v>39</v>
      </c>
      <c r="V12" t="s">
        <v>33</v>
      </c>
      <c r="W12" s="4">
        <v>12950</v>
      </c>
      <c r="X12" s="5">
        <v>30</v>
      </c>
    </row>
    <row r="13" spans="4:24" x14ac:dyDescent="0.3">
      <c r="D13"/>
      <c r="E13"/>
      <c r="F13" s="19"/>
      <c r="T13" t="s">
        <v>40</v>
      </c>
      <c r="U13" t="s">
        <v>35</v>
      </c>
      <c r="V13" t="s">
        <v>32</v>
      </c>
      <c r="W13" s="4">
        <v>12348</v>
      </c>
      <c r="X13" s="5">
        <v>234</v>
      </c>
    </row>
    <row r="14" spans="4:24" x14ac:dyDescent="0.3">
      <c r="D14"/>
      <c r="E14"/>
      <c r="T14" t="s">
        <v>2</v>
      </c>
      <c r="U14" t="s">
        <v>37</v>
      </c>
      <c r="V14" t="s">
        <v>18</v>
      </c>
      <c r="W14" s="4">
        <v>11571</v>
      </c>
      <c r="X14" s="5">
        <v>138</v>
      </c>
    </row>
    <row r="15" spans="4:24" x14ac:dyDescent="0.3">
      <c r="D15"/>
      <c r="E15"/>
      <c r="T15" t="s">
        <v>9</v>
      </c>
      <c r="U15" t="s">
        <v>36</v>
      </c>
      <c r="V15" t="s">
        <v>27</v>
      </c>
      <c r="W15" s="4">
        <v>11522</v>
      </c>
      <c r="X15" s="5">
        <v>204</v>
      </c>
    </row>
    <row r="16" spans="4:24" x14ac:dyDescent="0.3">
      <c r="D16"/>
      <c r="E16"/>
      <c r="T16" t="s">
        <v>2</v>
      </c>
      <c r="U16" t="s">
        <v>36</v>
      </c>
      <c r="V16" t="s">
        <v>16</v>
      </c>
      <c r="W16" s="4">
        <v>11417</v>
      </c>
      <c r="X16" s="5">
        <v>21</v>
      </c>
    </row>
    <row r="17" spans="4:24" x14ac:dyDescent="0.3">
      <c r="D17"/>
      <c r="E17"/>
      <c r="T17" t="s">
        <v>41</v>
      </c>
      <c r="U17" t="s">
        <v>36</v>
      </c>
      <c r="V17" t="s">
        <v>13</v>
      </c>
      <c r="W17" s="4">
        <v>10311</v>
      </c>
      <c r="X17" s="5">
        <v>231</v>
      </c>
    </row>
    <row r="18" spans="4:24" x14ac:dyDescent="0.3">
      <c r="D18"/>
      <c r="E18"/>
      <c r="T18" t="s">
        <v>41</v>
      </c>
      <c r="U18" t="s">
        <v>36</v>
      </c>
      <c r="V18" t="s">
        <v>32</v>
      </c>
      <c r="W18" s="4">
        <v>10304</v>
      </c>
      <c r="X18" s="5">
        <v>84</v>
      </c>
    </row>
    <row r="19" spans="4:24" x14ac:dyDescent="0.3">
      <c r="D19"/>
      <c r="E19"/>
      <c r="T19" t="s">
        <v>7</v>
      </c>
      <c r="U19" t="s">
        <v>38</v>
      </c>
      <c r="V19" t="s">
        <v>30</v>
      </c>
      <c r="W19" s="4">
        <v>10129</v>
      </c>
      <c r="X19" s="5">
        <v>312</v>
      </c>
    </row>
    <row r="20" spans="4:24" x14ac:dyDescent="0.3">
      <c r="D20"/>
      <c r="E20"/>
      <c r="T20" t="s">
        <v>6</v>
      </c>
      <c r="U20" t="s">
        <v>36</v>
      </c>
      <c r="V20" t="s">
        <v>4</v>
      </c>
      <c r="W20" s="4">
        <v>10073</v>
      </c>
      <c r="X20" s="5">
        <v>120</v>
      </c>
    </row>
    <row r="21" spans="4:24" x14ac:dyDescent="0.3">
      <c r="D21"/>
      <c r="E21"/>
      <c r="T21" t="s">
        <v>2</v>
      </c>
      <c r="U21" t="s">
        <v>37</v>
      </c>
      <c r="V21" t="s">
        <v>17</v>
      </c>
      <c r="W21" s="4">
        <v>9926</v>
      </c>
      <c r="X21" s="5">
        <v>201</v>
      </c>
    </row>
    <row r="22" spans="4:24" x14ac:dyDescent="0.3">
      <c r="D22"/>
      <c r="E22"/>
      <c r="T22" t="s">
        <v>7</v>
      </c>
      <c r="U22" t="s">
        <v>37</v>
      </c>
      <c r="V22" t="s">
        <v>22</v>
      </c>
      <c r="W22" s="4">
        <v>9835</v>
      </c>
      <c r="X22" s="5">
        <v>207</v>
      </c>
    </row>
    <row r="23" spans="4:24" x14ac:dyDescent="0.3">
      <c r="D23"/>
      <c r="E23"/>
      <c r="T23" t="s">
        <v>40</v>
      </c>
      <c r="U23" t="s">
        <v>36</v>
      </c>
      <c r="V23" t="s">
        <v>33</v>
      </c>
      <c r="W23" s="4">
        <v>9772</v>
      </c>
      <c r="X23" s="5">
        <v>90</v>
      </c>
    </row>
    <row r="24" spans="4:24" x14ac:dyDescent="0.3">
      <c r="D24"/>
      <c r="E24"/>
      <c r="T24" t="s">
        <v>8</v>
      </c>
      <c r="U24" t="s">
        <v>37</v>
      </c>
      <c r="V24" t="s">
        <v>15</v>
      </c>
      <c r="W24" s="4">
        <v>9709</v>
      </c>
      <c r="X24" s="5">
        <v>30</v>
      </c>
    </row>
    <row r="25" spans="4:24" x14ac:dyDescent="0.3">
      <c r="D25"/>
      <c r="E25"/>
      <c r="T25" t="s">
        <v>8</v>
      </c>
      <c r="U25" t="s">
        <v>39</v>
      </c>
      <c r="V25" t="s">
        <v>18</v>
      </c>
      <c r="W25" s="4">
        <v>9660</v>
      </c>
      <c r="X25" s="5">
        <v>27</v>
      </c>
    </row>
    <row r="26" spans="4:24" x14ac:dyDescent="0.3">
      <c r="T26" t="s">
        <v>41</v>
      </c>
      <c r="U26" t="s">
        <v>36</v>
      </c>
      <c r="V26" t="s">
        <v>18</v>
      </c>
      <c r="W26" s="4">
        <v>9632</v>
      </c>
      <c r="X26" s="5">
        <v>288</v>
      </c>
    </row>
    <row r="27" spans="4:24" x14ac:dyDescent="0.3">
      <c r="T27" t="s">
        <v>9</v>
      </c>
      <c r="U27" t="s">
        <v>38</v>
      </c>
      <c r="V27" t="s">
        <v>33</v>
      </c>
      <c r="W27" s="4">
        <v>9506</v>
      </c>
      <c r="X27" s="5">
        <v>87</v>
      </c>
    </row>
    <row r="28" spans="4:24" x14ac:dyDescent="0.3">
      <c r="T28" t="s">
        <v>2</v>
      </c>
      <c r="U28" t="s">
        <v>39</v>
      </c>
      <c r="V28" t="s">
        <v>20</v>
      </c>
      <c r="W28" s="4">
        <v>9443</v>
      </c>
      <c r="X28" s="5">
        <v>162</v>
      </c>
    </row>
    <row r="29" spans="4:24" x14ac:dyDescent="0.3">
      <c r="T29" t="s">
        <v>3</v>
      </c>
      <c r="U29" t="s">
        <v>36</v>
      </c>
      <c r="V29" t="s">
        <v>16</v>
      </c>
      <c r="W29" s="4">
        <v>9198</v>
      </c>
      <c r="X29" s="5">
        <v>36</v>
      </c>
    </row>
    <row r="30" spans="4:24" x14ac:dyDescent="0.3">
      <c r="T30" t="s">
        <v>9</v>
      </c>
      <c r="U30" t="s">
        <v>36</v>
      </c>
      <c r="V30" t="s">
        <v>30</v>
      </c>
      <c r="W30" s="4">
        <v>9051</v>
      </c>
      <c r="X30" s="5">
        <v>57</v>
      </c>
    </row>
    <row r="31" spans="4:24" x14ac:dyDescent="0.3">
      <c r="T31" t="s">
        <v>40</v>
      </c>
      <c r="U31" t="s">
        <v>37</v>
      </c>
      <c r="V31" t="s">
        <v>29</v>
      </c>
      <c r="W31" s="4">
        <v>9002</v>
      </c>
      <c r="X31" s="5">
        <v>72</v>
      </c>
    </row>
    <row r="32" spans="4:24" x14ac:dyDescent="0.3">
      <c r="T32" t="s">
        <v>8</v>
      </c>
      <c r="U32" t="s">
        <v>39</v>
      </c>
      <c r="V32" t="s">
        <v>31</v>
      </c>
      <c r="W32" s="4">
        <v>8890</v>
      </c>
      <c r="X32" s="5">
        <v>210</v>
      </c>
    </row>
    <row r="33" spans="20:24" x14ac:dyDescent="0.3">
      <c r="T33" t="s">
        <v>40</v>
      </c>
      <c r="U33" t="s">
        <v>35</v>
      </c>
      <c r="V33" t="s">
        <v>33</v>
      </c>
      <c r="W33" s="4">
        <v>8869</v>
      </c>
      <c r="X33" s="5">
        <v>432</v>
      </c>
    </row>
    <row r="34" spans="20:24" x14ac:dyDescent="0.3">
      <c r="T34" t="s">
        <v>7</v>
      </c>
      <c r="U34" t="s">
        <v>34</v>
      </c>
      <c r="V34" t="s">
        <v>24</v>
      </c>
      <c r="W34" s="4">
        <v>8862</v>
      </c>
      <c r="X34" s="5">
        <v>189</v>
      </c>
    </row>
    <row r="35" spans="20:24" x14ac:dyDescent="0.3">
      <c r="T35" t="s">
        <v>3</v>
      </c>
      <c r="U35" t="s">
        <v>38</v>
      </c>
      <c r="V35" t="s">
        <v>26</v>
      </c>
      <c r="W35" s="4">
        <v>8841</v>
      </c>
      <c r="X35" s="5">
        <v>303</v>
      </c>
    </row>
    <row r="36" spans="20:24" x14ac:dyDescent="0.3">
      <c r="T36" t="s">
        <v>5</v>
      </c>
      <c r="U36" t="s">
        <v>37</v>
      </c>
      <c r="V36" t="s">
        <v>25</v>
      </c>
      <c r="W36" s="4">
        <v>8813</v>
      </c>
      <c r="X36" s="5">
        <v>21</v>
      </c>
    </row>
    <row r="37" spans="20:24" x14ac:dyDescent="0.3">
      <c r="T37" t="s">
        <v>9</v>
      </c>
      <c r="U37" t="s">
        <v>34</v>
      </c>
      <c r="V37" t="s">
        <v>20</v>
      </c>
      <c r="W37" s="4">
        <v>8463</v>
      </c>
      <c r="X37" s="5">
        <v>492</v>
      </c>
    </row>
    <row r="38" spans="20:24" x14ac:dyDescent="0.3">
      <c r="T38" t="s">
        <v>7</v>
      </c>
      <c r="U38" t="s">
        <v>36</v>
      </c>
      <c r="V38" t="s">
        <v>22</v>
      </c>
      <c r="W38" s="4">
        <v>8435</v>
      </c>
      <c r="X38" s="5">
        <v>42</v>
      </c>
    </row>
    <row r="39" spans="20:24" x14ac:dyDescent="0.3">
      <c r="T39" t="s">
        <v>2</v>
      </c>
      <c r="U39" t="s">
        <v>36</v>
      </c>
      <c r="V39" t="s">
        <v>29</v>
      </c>
      <c r="W39" s="4">
        <v>8211</v>
      </c>
      <c r="X39" s="5">
        <v>75</v>
      </c>
    </row>
    <row r="40" spans="20:24" x14ac:dyDescent="0.3">
      <c r="T40" t="s">
        <v>9</v>
      </c>
      <c r="U40" t="s">
        <v>34</v>
      </c>
      <c r="V40" t="s">
        <v>23</v>
      </c>
      <c r="W40" s="4">
        <v>8155</v>
      </c>
      <c r="X40" s="5">
        <v>90</v>
      </c>
    </row>
    <row r="41" spans="20:24" x14ac:dyDescent="0.3">
      <c r="T41" t="s">
        <v>6</v>
      </c>
      <c r="U41" t="s">
        <v>34</v>
      </c>
      <c r="V41" t="s">
        <v>26</v>
      </c>
      <c r="W41" s="4">
        <v>8008</v>
      </c>
      <c r="X41" s="5">
        <v>456</v>
      </c>
    </row>
    <row r="42" spans="20:24" x14ac:dyDescent="0.3">
      <c r="T42" t="s">
        <v>41</v>
      </c>
      <c r="U42" t="s">
        <v>34</v>
      </c>
      <c r="V42" t="s">
        <v>33</v>
      </c>
      <c r="W42" s="4">
        <v>7847</v>
      </c>
      <c r="X42" s="5">
        <v>174</v>
      </c>
    </row>
    <row r="43" spans="20:24" x14ac:dyDescent="0.3">
      <c r="T43" t="s">
        <v>9</v>
      </c>
      <c r="U43" t="s">
        <v>35</v>
      </c>
      <c r="V43" t="s">
        <v>15</v>
      </c>
      <c r="W43" s="4">
        <v>7833</v>
      </c>
      <c r="X43" s="5">
        <v>243</v>
      </c>
    </row>
    <row r="44" spans="20:24" x14ac:dyDescent="0.3">
      <c r="T44" t="s">
        <v>2</v>
      </c>
      <c r="U44" t="s">
        <v>39</v>
      </c>
      <c r="V44" t="s">
        <v>27</v>
      </c>
      <c r="W44" s="4">
        <v>7812</v>
      </c>
      <c r="X44" s="5">
        <v>81</v>
      </c>
    </row>
    <row r="45" spans="20:24" x14ac:dyDescent="0.3">
      <c r="T45" t="s">
        <v>3</v>
      </c>
      <c r="U45" t="s">
        <v>34</v>
      </c>
      <c r="V45" t="s">
        <v>32</v>
      </c>
      <c r="W45" s="4">
        <v>7777</v>
      </c>
      <c r="X45" s="5">
        <v>504</v>
      </c>
    </row>
    <row r="46" spans="20:24" x14ac:dyDescent="0.3">
      <c r="T46" t="s">
        <v>7</v>
      </c>
      <c r="U46" t="s">
        <v>34</v>
      </c>
      <c r="V46" t="s">
        <v>17</v>
      </c>
      <c r="W46" s="4">
        <v>7777</v>
      </c>
      <c r="X46" s="5">
        <v>39</v>
      </c>
    </row>
    <row r="47" spans="20:24" x14ac:dyDescent="0.3">
      <c r="T47" t="s">
        <v>6</v>
      </c>
      <c r="U47" t="s">
        <v>37</v>
      </c>
      <c r="V47" t="s">
        <v>31</v>
      </c>
      <c r="W47" s="4">
        <v>7693</v>
      </c>
      <c r="X47" s="5">
        <v>87</v>
      </c>
    </row>
    <row r="48" spans="20:24" x14ac:dyDescent="0.3">
      <c r="T48" t="s">
        <v>40</v>
      </c>
      <c r="U48" t="s">
        <v>37</v>
      </c>
      <c r="V48" t="s">
        <v>19</v>
      </c>
      <c r="W48" s="4">
        <v>7693</v>
      </c>
      <c r="X48" s="5">
        <v>21</v>
      </c>
    </row>
    <row r="49" spans="20:24" x14ac:dyDescent="0.3">
      <c r="T49" t="s">
        <v>2</v>
      </c>
      <c r="U49" t="s">
        <v>39</v>
      </c>
      <c r="V49" t="s">
        <v>21</v>
      </c>
      <c r="W49" s="4">
        <v>7651</v>
      </c>
      <c r="X49" s="5">
        <v>213</v>
      </c>
    </row>
    <row r="50" spans="20:24" x14ac:dyDescent="0.3">
      <c r="T50" t="s">
        <v>2</v>
      </c>
      <c r="U50" t="s">
        <v>34</v>
      </c>
      <c r="V50" t="s">
        <v>19</v>
      </c>
      <c r="W50" s="4">
        <v>7511</v>
      </c>
      <c r="X50" s="5">
        <v>120</v>
      </c>
    </row>
    <row r="51" spans="20:24" x14ac:dyDescent="0.3">
      <c r="T51" t="s">
        <v>5</v>
      </c>
      <c r="U51" t="s">
        <v>38</v>
      </c>
      <c r="V51" t="s">
        <v>25</v>
      </c>
      <c r="W51" s="4">
        <v>7483</v>
      </c>
      <c r="X51" s="5">
        <v>45</v>
      </c>
    </row>
    <row r="52" spans="20:24" x14ac:dyDescent="0.3">
      <c r="T52" t="s">
        <v>41</v>
      </c>
      <c r="U52" t="s">
        <v>35</v>
      </c>
      <c r="V52" t="s">
        <v>28</v>
      </c>
      <c r="W52" s="4">
        <v>7455</v>
      </c>
      <c r="X52" s="5">
        <v>216</v>
      </c>
    </row>
    <row r="53" spans="20:24" x14ac:dyDescent="0.3">
      <c r="T53" t="s">
        <v>6</v>
      </c>
      <c r="U53" t="s">
        <v>38</v>
      </c>
      <c r="V53" t="s">
        <v>21</v>
      </c>
      <c r="W53" s="4">
        <v>7322</v>
      </c>
      <c r="X53" s="5">
        <v>36</v>
      </c>
    </row>
    <row r="54" spans="20:24" x14ac:dyDescent="0.3">
      <c r="T54" t="s">
        <v>3</v>
      </c>
      <c r="U54" t="s">
        <v>37</v>
      </c>
      <c r="V54" t="s">
        <v>28</v>
      </c>
      <c r="W54" s="4">
        <v>7308</v>
      </c>
      <c r="X54" s="5">
        <v>327</v>
      </c>
    </row>
    <row r="55" spans="20:24" x14ac:dyDescent="0.3">
      <c r="T55" t="s">
        <v>5</v>
      </c>
      <c r="U55" t="s">
        <v>34</v>
      </c>
      <c r="V55" t="s">
        <v>15</v>
      </c>
      <c r="W55" s="4">
        <v>7280</v>
      </c>
      <c r="X55" s="5">
        <v>201</v>
      </c>
    </row>
    <row r="56" spans="20:24" x14ac:dyDescent="0.3">
      <c r="T56" t="s">
        <v>9</v>
      </c>
      <c r="U56" t="s">
        <v>37</v>
      </c>
      <c r="V56" t="s">
        <v>20</v>
      </c>
      <c r="W56" s="4">
        <v>7273</v>
      </c>
      <c r="X56" s="5">
        <v>96</v>
      </c>
    </row>
    <row r="57" spans="20:24" x14ac:dyDescent="0.3">
      <c r="T57" t="s">
        <v>3</v>
      </c>
      <c r="U57" t="s">
        <v>34</v>
      </c>
      <c r="V57" t="s">
        <v>14</v>
      </c>
      <c r="W57" s="4">
        <v>7259</v>
      </c>
      <c r="X57" s="5">
        <v>276</v>
      </c>
    </row>
    <row r="58" spans="20:24" x14ac:dyDescent="0.3">
      <c r="T58" t="s">
        <v>5</v>
      </c>
      <c r="U58" t="s">
        <v>38</v>
      </c>
      <c r="V58" t="s">
        <v>13</v>
      </c>
      <c r="W58" s="4">
        <v>7189</v>
      </c>
      <c r="X58" s="5">
        <v>54</v>
      </c>
    </row>
    <row r="59" spans="20:24" x14ac:dyDescent="0.3">
      <c r="T59" t="s">
        <v>8</v>
      </c>
      <c r="U59" t="s">
        <v>39</v>
      </c>
      <c r="V59" t="s">
        <v>30</v>
      </c>
      <c r="W59" s="4">
        <v>7021</v>
      </c>
      <c r="X59" s="5">
        <v>183</v>
      </c>
    </row>
    <row r="60" spans="20:24" x14ac:dyDescent="0.3">
      <c r="T60" t="s">
        <v>5</v>
      </c>
      <c r="U60" t="s">
        <v>34</v>
      </c>
      <c r="V60" t="s">
        <v>27</v>
      </c>
      <c r="W60" s="4">
        <v>6986</v>
      </c>
      <c r="X60" s="5">
        <v>21</v>
      </c>
    </row>
    <row r="61" spans="20:24" x14ac:dyDescent="0.3">
      <c r="T61" t="s">
        <v>5</v>
      </c>
      <c r="U61" t="s">
        <v>39</v>
      </c>
      <c r="V61" t="s">
        <v>22</v>
      </c>
      <c r="W61" s="4">
        <v>6909</v>
      </c>
      <c r="X61" s="5">
        <v>81</v>
      </c>
    </row>
    <row r="62" spans="20:24" x14ac:dyDescent="0.3">
      <c r="T62" t="s">
        <v>10</v>
      </c>
      <c r="U62" t="s">
        <v>38</v>
      </c>
      <c r="V62" t="s">
        <v>4</v>
      </c>
      <c r="W62" s="4">
        <v>6860</v>
      </c>
      <c r="X62" s="5">
        <v>126</v>
      </c>
    </row>
    <row r="63" spans="20:24" x14ac:dyDescent="0.3">
      <c r="T63" t="s">
        <v>40</v>
      </c>
      <c r="U63" t="s">
        <v>35</v>
      </c>
      <c r="V63" t="s">
        <v>22</v>
      </c>
      <c r="W63" s="4">
        <v>6853</v>
      </c>
      <c r="X63" s="5">
        <v>372</v>
      </c>
    </row>
    <row r="64" spans="20:24" x14ac:dyDescent="0.3">
      <c r="T64" t="s">
        <v>9</v>
      </c>
      <c r="U64" t="s">
        <v>34</v>
      </c>
      <c r="V64" t="s">
        <v>21</v>
      </c>
      <c r="W64" s="4">
        <v>6832</v>
      </c>
      <c r="X64" s="5">
        <v>27</v>
      </c>
    </row>
    <row r="65" spans="20:24" x14ac:dyDescent="0.3">
      <c r="T65" t="s">
        <v>6</v>
      </c>
      <c r="U65" t="s">
        <v>37</v>
      </c>
      <c r="V65" t="s">
        <v>26</v>
      </c>
      <c r="W65" s="4">
        <v>6818</v>
      </c>
      <c r="X65" s="5">
        <v>6</v>
      </c>
    </row>
    <row r="66" spans="20:24" x14ac:dyDescent="0.3">
      <c r="T66" t="s">
        <v>7</v>
      </c>
      <c r="U66" t="s">
        <v>35</v>
      </c>
      <c r="V66" t="s">
        <v>30</v>
      </c>
      <c r="W66" s="4">
        <v>6755</v>
      </c>
      <c r="X66" s="5">
        <v>252</v>
      </c>
    </row>
    <row r="67" spans="20:24" x14ac:dyDescent="0.3">
      <c r="T67" t="s">
        <v>40</v>
      </c>
      <c r="U67" t="s">
        <v>34</v>
      </c>
      <c r="V67" t="s">
        <v>26</v>
      </c>
      <c r="W67" s="4">
        <v>6748</v>
      </c>
      <c r="X67" s="5">
        <v>48</v>
      </c>
    </row>
    <row r="68" spans="20:24" x14ac:dyDescent="0.3">
      <c r="T68" t="s">
        <v>6</v>
      </c>
      <c r="U68" t="s">
        <v>34</v>
      </c>
      <c r="V68" t="s">
        <v>32</v>
      </c>
      <c r="W68" s="4">
        <v>6734</v>
      </c>
      <c r="X68" s="5">
        <v>123</v>
      </c>
    </row>
    <row r="69" spans="20:24" x14ac:dyDescent="0.3">
      <c r="T69" t="s">
        <v>8</v>
      </c>
      <c r="U69" t="s">
        <v>35</v>
      </c>
      <c r="V69" t="s">
        <v>32</v>
      </c>
      <c r="W69" s="4">
        <v>6706</v>
      </c>
      <c r="X69" s="5">
        <v>459</v>
      </c>
    </row>
    <row r="70" spans="20:24" x14ac:dyDescent="0.3">
      <c r="T70" t="s">
        <v>10</v>
      </c>
      <c r="U70" t="s">
        <v>36</v>
      </c>
      <c r="V70" t="s">
        <v>32</v>
      </c>
      <c r="W70" s="4">
        <v>6657</v>
      </c>
      <c r="X70" s="5">
        <v>303</v>
      </c>
    </row>
    <row r="71" spans="20:24" x14ac:dyDescent="0.3">
      <c r="T71" t="s">
        <v>3</v>
      </c>
      <c r="U71" t="s">
        <v>35</v>
      </c>
      <c r="V71" t="s">
        <v>15</v>
      </c>
      <c r="W71" s="4">
        <v>6657</v>
      </c>
      <c r="X71" s="5">
        <v>276</v>
      </c>
    </row>
    <row r="72" spans="20:24" x14ac:dyDescent="0.3">
      <c r="T72" t="s">
        <v>7</v>
      </c>
      <c r="U72" t="s">
        <v>37</v>
      </c>
      <c r="V72" t="s">
        <v>14</v>
      </c>
      <c r="W72" s="4">
        <v>6608</v>
      </c>
      <c r="X72" s="5">
        <v>225</v>
      </c>
    </row>
    <row r="73" spans="20:24" x14ac:dyDescent="0.3">
      <c r="T73" t="s">
        <v>2</v>
      </c>
      <c r="U73" t="s">
        <v>38</v>
      </c>
      <c r="V73" t="s">
        <v>28</v>
      </c>
      <c r="W73" s="4">
        <v>6580</v>
      </c>
      <c r="X73" s="5">
        <v>183</v>
      </c>
    </row>
    <row r="74" spans="20:24" x14ac:dyDescent="0.3">
      <c r="T74" t="s">
        <v>7</v>
      </c>
      <c r="U74" t="s">
        <v>37</v>
      </c>
      <c r="V74" t="s">
        <v>30</v>
      </c>
      <c r="W74" s="4">
        <v>6454</v>
      </c>
      <c r="X74" s="5">
        <v>54</v>
      </c>
    </row>
    <row r="75" spans="20:24" x14ac:dyDescent="0.3">
      <c r="T75" t="s">
        <v>8</v>
      </c>
      <c r="U75" t="s">
        <v>38</v>
      </c>
      <c r="V75" t="s">
        <v>21</v>
      </c>
      <c r="W75" s="4">
        <v>6433</v>
      </c>
      <c r="X75" s="5">
        <v>78</v>
      </c>
    </row>
    <row r="76" spans="20:24" x14ac:dyDescent="0.3">
      <c r="T76" t="s">
        <v>41</v>
      </c>
      <c r="U76" t="s">
        <v>37</v>
      </c>
      <c r="V76" t="s">
        <v>24</v>
      </c>
      <c r="W76" s="4">
        <v>6398</v>
      </c>
      <c r="X76" s="5">
        <v>102</v>
      </c>
    </row>
    <row r="77" spans="20:24" x14ac:dyDescent="0.3">
      <c r="T77" t="s">
        <v>7</v>
      </c>
      <c r="U77" t="s">
        <v>37</v>
      </c>
      <c r="V77" t="s">
        <v>33</v>
      </c>
      <c r="W77" s="4">
        <v>6391</v>
      </c>
      <c r="X77" s="5">
        <v>48</v>
      </c>
    </row>
    <row r="78" spans="20:24" x14ac:dyDescent="0.3">
      <c r="T78" t="s">
        <v>40</v>
      </c>
      <c r="U78" t="s">
        <v>39</v>
      </c>
      <c r="V78" t="s">
        <v>27</v>
      </c>
      <c r="W78" s="4">
        <v>6370</v>
      </c>
      <c r="X78" s="5">
        <v>30</v>
      </c>
    </row>
    <row r="79" spans="20:24" x14ac:dyDescent="0.3">
      <c r="T79" t="s">
        <v>5</v>
      </c>
      <c r="U79" t="s">
        <v>36</v>
      </c>
      <c r="V79" t="s">
        <v>23</v>
      </c>
      <c r="W79" s="4">
        <v>6314</v>
      </c>
      <c r="X79" s="5">
        <v>15</v>
      </c>
    </row>
    <row r="80" spans="20:24" x14ac:dyDescent="0.3">
      <c r="T80" t="s">
        <v>3</v>
      </c>
      <c r="U80" t="s">
        <v>34</v>
      </c>
      <c r="V80" t="s">
        <v>25</v>
      </c>
      <c r="W80" s="4">
        <v>6300</v>
      </c>
      <c r="X80" s="5">
        <v>42</v>
      </c>
    </row>
    <row r="81" spans="20:24" x14ac:dyDescent="0.3">
      <c r="T81" t="s">
        <v>8</v>
      </c>
      <c r="U81" t="s">
        <v>37</v>
      </c>
      <c r="V81" t="s">
        <v>26</v>
      </c>
      <c r="W81" s="4">
        <v>6279</v>
      </c>
      <c r="X81" s="5">
        <v>45</v>
      </c>
    </row>
    <row r="82" spans="20:24" x14ac:dyDescent="0.3">
      <c r="T82" t="s">
        <v>5</v>
      </c>
      <c r="U82" t="s">
        <v>34</v>
      </c>
      <c r="V82" t="s">
        <v>22</v>
      </c>
      <c r="W82" s="4">
        <v>6279</v>
      </c>
      <c r="X82" s="5">
        <v>237</v>
      </c>
    </row>
    <row r="83" spans="20:24" x14ac:dyDescent="0.3">
      <c r="T83" t="s">
        <v>5</v>
      </c>
      <c r="U83" t="s">
        <v>36</v>
      </c>
      <c r="V83" t="s">
        <v>13</v>
      </c>
      <c r="W83" s="4">
        <v>6146</v>
      </c>
      <c r="X83" s="5">
        <v>63</v>
      </c>
    </row>
    <row r="84" spans="20:24" x14ac:dyDescent="0.3">
      <c r="T84" t="s">
        <v>40</v>
      </c>
      <c r="U84" t="s">
        <v>37</v>
      </c>
      <c r="V84" t="s">
        <v>27</v>
      </c>
      <c r="W84" s="4">
        <v>6132</v>
      </c>
      <c r="X84" s="5">
        <v>93</v>
      </c>
    </row>
    <row r="85" spans="20:24" x14ac:dyDescent="0.3">
      <c r="T85" t="s">
        <v>40</v>
      </c>
      <c r="U85" t="s">
        <v>38</v>
      </c>
      <c r="V85" t="s">
        <v>4</v>
      </c>
      <c r="W85" s="4">
        <v>6125</v>
      </c>
      <c r="X85" s="5">
        <v>102</v>
      </c>
    </row>
    <row r="86" spans="20:24" x14ac:dyDescent="0.3">
      <c r="T86" t="s">
        <v>6</v>
      </c>
      <c r="U86" t="s">
        <v>36</v>
      </c>
      <c r="V86" t="s">
        <v>32</v>
      </c>
      <c r="W86" s="4">
        <v>6118</v>
      </c>
      <c r="X86" s="5">
        <v>9</v>
      </c>
    </row>
    <row r="87" spans="20:24" x14ac:dyDescent="0.3">
      <c r="T87" t="s">
        <v>41</v>
      </c>
      <c r="U87" t="s">
        <v>36</v>
      </c>
      <c r="V87" t="s">
        <v>30</v>
      </c>
      <c r="W87" s="4">
        <v>6118</v>
      </c>
      <c r="X87" s="5">
        <v>174</v>
      </c>
    </row>
    <row r="88" spans="20:24" x14ac:dyDescent="0.3">
      <c r="T88" t="s">
        <v>5</v>
      </c>
      <c r="U88" t="s">
        <v>36</v>
      </c>
      <c r="V88" t="s">
        <v>18</v>
      </c>
      <c r="W88" s="4">
        <v>6111</v>
      </c>
      <c r="X88" s="5">
        <v>3</v>
      </c>
    </row>
    <row r="89" spans="20:24" x14ac:dyDescent="0.3">
      <c r="T89" t="s">
        <v>6</v>
      </c>
      <c r="U89" t="s">
        <v>39</v>
      </c>
      <c r="V89" t="s">
        <v>17</v>
      </c>
      <c r="W89" s="4">
        <v>6048</v>
      </c>
      <c r="X89" s="5">
        <v>27</v>
      </c>
    </row>
    <row r="90" spans="20:24" x14ac:dyDescent="0.3">
      <c r="T90" t="s">
        <v>2</v>
      </c>
      <c r="U90" t="s">
        <v>39</v>
      </c>
      <c r="V90" t="s">
        <v>28</v>
      </c>
      <c r="W90" s="4">
        <v>6027</v>
      </c>
      <c r="X90" s="5">
        <v>144</v>
      </c>
    </row>
    <row r="91" spans="20:24" x14ac:dyDescent="0.3">
      <c r="T91" t="s">
        <v>41</v>
      </c>
      <c r="U91" t="s">
        <v>38</v>
      </c>
      <c r="V91" t="s">
        <v>22</v>
      </c>
      <c r="W91" s="4">
        <v>5915</v>
      </c>
      <c r="X91" s="5">
        <v>3</v>
      </c>
    </row>
    <row r="92" spans="20:24" x14ac:dyDescent="0.3">
      <c r="T92" t="s">
        <v>40</v>
      </c>
      <c r="U92" t="s">
        <v>39</v>
      </c>
      <c r="V92" t="s">
        <v>22</v>
      </c>
      <c r="W92" s="4">
        <v>5817</v>
      </c>
      <c r="X92" s="5">
        <v>12</v>
      </c>
    </row>
    <row r="93" spans="20:24" x14ac:dyDescent="0.3">
      <c r="T93" t="s">
        <v>40</v>
      </c>
      <c r="U93" t="s">
        <v>39</v>
      </c>
      <c r="V93" t="s">
        <v>15</v>
      </c>
      <c r="W93" s="4">
        <v>5775</v>
      </c>
      <c r="X93" s="5">
        <v>42</v>
      </c>
    </row>
    <row r="94" spans="20:24" x14ac:dyDescent="0.3">
      <c r="T94" t="s">
        <v>7</v>
      </c>
      <c r="U94" t="s">
        <v>38</v>
      </c>
      <c r="V94" t="s">
        <v>28</v>
      </c>
      <c r="W94" s="4">
        <v>5677</v>
      </c>
      <c r="X94" s="5">
        <v>258</v>
      </c>
    </row>
    <row r="95" spans="20:24" x14ac:dyDescent="0.3">
      <c r="T95" t="s">
        <v>40</v>
      </c>
      <c r="U95" t="s">
        <v>38</v>
      </c>
      <c r="V95" t="s">
        <v>13</v>
      </c>
      <c r="W95" s="4">
        <v>5670</v>
      </c>
      <c r="X95" s="5">
        <v>297</v>
      </c>
    </row>
    <row r="96" spans="20:24" x14ac:dyDescent="0.3">
      <c r="T96" t="s">
        <v>10</v>
      </c>
      <c r="U96" t="s">
        <v>38</v>
      </c>
      <c r="V96" t="s">
        <v>14</v>
      </c>
      <c r="W96" s="4">
        <v>5586</v>
      </c>
      <c r="X96" s="5">
        <v>525</v>
      </c>
    </row>
    <row r="97" spans="20:24" x14ac:dyDescent="0.3">
      <c r="T97" t="s">
        <v>7</v>
      </c>
      <c r="U97" t="s">
        <v>36</v>
      </c>
      <c r="V97" t="s">
        <v>29</v>
      </c>
      <c r="W97" s="4">
        <v>5551</v>
      </c>
      <c r="X97" s="5">
        <v>252</v>
      </c>
    </row>
    <row r="98" spans="20:24" x14ac:dyDescent="0.3">
      <c r="T98" t="s">
        <v>5</v>
      </c>
      <c r="U98" t="s">
        <v>38</v>
      </c>
      <c r="V98" t="s">
        <v>19</v>
      </c>
      <c r="W98" s="4">
        <v>5474</v>
      </c>
      <c r="X98" s="5">
        <v>168</v>
      </c>
    </row>
    <row r="99" spans="20:24" x14ac:dyDescent="0.3">
      <c r="T99" t="s">
        <v>40</v>
      </c>
      <c r="U99" t="s">
        <v>36</v>
      </c>
      <c r="V99" t="s">
        <v>25</v>
      </c>
      <c r="W99" s="4">
        <v>5439</v>
      </c>
      <c r="X99" s="5">
        <v>30</v>
      </c>
    </row>
    <row r="100" spans="20:24" x14ac:dyDescent="0.3">
      <c r="T100" t="s">
        <v>10</v>
      </c>
      <c r="U100" t="s">
        <v>34</v>
      </c>
      <c r="V100" t="s">
        <v>19</v>
      </c>
      <c r="W100" s="4">
        <v>5355</v>
      </c>
      <c r="X100" s="5">
        <v>204</v>
      </c>
    </row>
    <row r="101" spans="20:24" x14ac:dyDescent="0.3">
      <c r="T101" t="s">
        <v>7</v>
      </c>
      <c r="U101" t="s">
        <v>37</v>
      </c>
      <c r="V101" t="s">
        <v>26</v>
      </c>
      <c r="W101" s="4">
        <v>5306</v>
      </c>
      <c r="X101" s="5">
        <v>0</v>
      </c>
    </row>
    <row r="102" spans="20:24" x14ac:dyDescent="0.3">
      <c r="T102" t="s">
        <v>5</v>
      </c>
      <c r="U102" t="s">
        <v>39</v>
      </c>
      <c r="V102" t="s">
        <v>26</v>
      </c>
      <c r="W102" s="4">
        <v>5236</v>
      </c>
      <c r="X102" s="5">
        <v>51</v>
      </c>
    </row>
    <row r="103" spans="20:24" x14ac:dyDescent="0.3">
      <c r="T103" t="s">
        <v>7</v>
      </c>
      <c r="U103" t="s">
        <v>35</v>
      </c>
      <c r="V103" t="s">
        <v>28</v>
      </c>
      <c r="W103" s="4">
        <v>5194</v>
      </c>
      <c r="X103" s="5">
        <v>288</v>
      </c>
    </row>
    <row r="104" spans="20:24" x14ac:dyDescent="0.3">
      <c r="T104" t="s">
        <v>5</v>
      </c>
      <c r="U104" t="s">
        <v>38</v>
      </c>
      <c r="V104" t="s">
        <v>32</v>
      </c>
      <c r="W104" s="4">
        <v>5075</v>
      </c>
      <c r="X104" s="5">
        <v>21</v>
      </c>
    </row>
    <row r="105" spans="20:24" x14ac:dyDescent="0.3">
      <c r="T105" t="s">
        <v>40</v>
      </c>
      <c r="U105" t="s">
        <v>34</v>
      </c>
      <c r="V105" t="s">
        <v>17</v>
      </c>
      <c r="W105" s="4">
        <v>5019</v>
      </c>
      <c r="X105" s="5">
        <v>156</v>
      </c>
    </row>
    <row r="106" spans="20:24" x14ac:dyDescent="0.3">
      <c r="T106" t="s">
        <v>8</v>
      </c>
      <c r="U106" t="s">
        <v>36</v>
      </c>
      <c r="V106" t="s">
        <v>23</v>
      </c>
      <c r="W106" s="4">
        <v>5019</v>
      </c>
      <c r="X106" s="5">
        <v>150</v>
      </c>
    </row>
    <row r="107" spans="20:24" x14ac:dyDescent="0.3">
      <c r="T107" t="s">
        <v>8</v>
      </c>
      <c r="U107" t="s">
        <v>35</v>
      </c>
      <c r="V107" t="s">
        <v>22</v>
      </c>
      <c r="W107" s="4">
        <v>5012</v>
      </c>
      <c r="X107" s="5">
        <v>210</v>
      </c>
    </row>
    <row r="108" spans="20:24" x14ac:dyDescent="0.3">
      <c r="T108" t="s">
        <v>5</v>
      </c>
      <c r="U108" t="s">
        <v>37</v>
      </c>
      <c r="V108" t="s">
        <v>14</v>
      </c>
      <c r="W108" s="4">
        <v>4991</v>
      </c>
      <c r="X108" s="5">
        <v>12</v>
      </c>
    </row>
    <row r="109" spans="20:24" x14ac:dyDescent="0.3">
      <c r="T109" t="s">
        <v>10</v>
      </c>
      <c r="U109" t="s">
        <v>34</v>
      </c>
      <c r="V109" t="s">
        <v>26</v>
      </c>
      <c r="W109" s="4">
        <v>4991</v>
      </c>
      <c r="X109" s="5">
        <v>9</v>
      </c>
    </row>
    <row r="110" spans="20:24" x14ac:dyDescent="0.3">
      <c r="T110" t="s">
        <v>6</v>
      </c>
      <c r="U110" t="s">
        <v>36</v>
      </c>
      <c r="V110" t="s">
        <v>17</v>
      </c>
      <c r="W110" s="4">
        <v>4970</v>
      </c>
      <c r="X110" s="5">
        <v>156</v>
      </c>
    </row>
    <row r="111" spans="20:24" x14ac:dyDescent="0.3">
      <c r="T111" t="s">
        <v>3</v>
      </c>
      <c r="U111" t="s">
        <v>39</v>
      </c>
      <c r="V111" t="s">
        <v>26</v>
      </c>
      <c r="W111" s="4">
        <v>4956</v>
      </c>
      <c r="X111" s="5">
        <v>171</v>
      </c>
    </row>
    <row r="112" spans="20:24" x14ac:dyDescent="0.3">
      <c r="T112" t="s">
        <v>6</v>
      </c>
      <c r="U112" t="s">
        <v>37</v>
      </c>
      <c r="V112" t="s">
        <v>23</v>
      </c>
      <c r="W112" s="4">
        <v>4949</v>
      </c>
      <c r="X112" s="5">
        <v>189</v>
      </c>
    </row>
    <row r="113" spans="20:24" x14ac:dyDescent="0.3">
      <c r="T113" t="s">
        <v>41</v>
      </c>
      <c r="U113" t="s">
        <v>34</v>
      </c>
      <c r="V113" t="s">
        <v>23</v>
      </c>
      <c r="W113" s="4">
        <v>4935</v>
      </c>
      <c r="X113" s="5">
        <v>126</v>
      </c>
    </row>
    <row r="114" spans="20:24" x14ac:dyDescent="0.3">
      <c r="T114" t="s">
        <v>10</v>
      </c>
      <c r="U114" t="s">
        <v>39</v>
      </c>
      <c r="V114" t="s">
        <v>21</v>
      </c>
      <c r="W114" s="4">
        <v>4858</v>
      </c>
      <c r="X114" s="5">
        <v>279</v>
      </c>
    </row>
    <row r="115" spans="20:24" x14ac:dyDescent="0.3">
      <c r="T115" t="s">
        <v>2</v>
      </c>
      <c r="U115" t="s">
        <v>39</v>
      </c>
      <c r="V115" t="s">
        <v>15</v>
      </c>
      <c r="W115" s="4">
        <v>4802</v>
      </c>
      <c r="X115" s="5">
        <v>36</v>
      </c>
    </row>
    <row r="116" spans="20:24" x14ac:dyDescent="0.3">
      <c r="T116" t="s">
        <v>6</v>
      </c>
      <c r="U116" t="s">
        <v>35</v>
      </c>
      <c r="V116" t="s">
        <v>30</v>
      </c>
      <c r="W116" s="4">
        <v>4781</v>
      </c>
      <c r="X116" s="5">
        <v>123</v>
      </c>
    </row>
    <row r="117" spans="20:24" x14ac:dyDescent="0.3">
      <c r="T117" t="s">
        <v>41</v>
      </c>
      <c r="U117" t="s">
        <v>35</v>
      </c>
      <c r="V117" t="s">
        <v>13</v>
      </c>
      <c r="W117" s="4">
        <v>4760</v>
      </c>
      <c r="X117" s="5">
        <v>69</v>
      </c>
    </row>
    <row r="118" spans="20:24" x14ac:dyDescent="0.3">
      <c r="T118" t="s">
        <v>8</v>
      </c>
      <c r="U118" t="s">
        <v>35</v>
      </c>
      <c r="V118" t="s">
        <v>27</v>
      </c>
      <c r="W118" s="4">
        <v>4753</v>
      </c>
      <c r="X118" s="5">
        <v>300</v>
      </c>
    </row>
    <row r="119" spans="20:24" x14ac:dyDescent="0.3">
      <c r="T119" t="s">
        <v>5</v>
      </c>
      <c r="U119" t="s">
        <v>35</v>
      </c>
      <c r="V119" t="s">
        <v>31</v>
      </c>
      <c r="W119" s="4">
        <v>4753</v>
      </c>
      <c r="X119" s="5">
        <v>246</v>
      </c>
    </row>
    <row r="120" spans="20:24" x14ac:dyDescent="0.3">
      <c r="T120" t="s">
        <v>40</v>
      </c>
      <c r="U120" t="s">
        <v>35</v>
      </c>
      <c r="V120" t="s">
        <v>16</v>
      </c>
      <c r="W120" s="4">
        <v>4725</v>
      </c>
      <c r="X120" s="5">
        <v>174</v>
      </c>
    </row>
    <row r="121" spans="20:24" x14ac:dyDescent="0.3">
      <c r="T121" t="s">
        <v>10</v>
      </c>
      <c r="U121" t="s">
        <v>37</v>
      </c>
      <c r="V121" t="s">
        <v>23</v>
      </c>
      <c r="W121" s="4">
        <v>4683</v>
      </c>
      <c r="X121" s="5">
        <v>30</v>
      </c>
    </row>
    <row r="122" spans="20:24" x14ac:dyDescent="0.3">
      <c r="T122" t="s">
        <v>7</v>
      </c>
      <c r="U122" t="s">
        <v>35</v>
      </c>
      <c r="V122" t="s">
        <v>14</v>
      </c>
      <c r="W122" s="4">
        <v>4606</v>
      </c>
      <c r="X122" s="5">
        <v>63</v>
      </c>
    </row>
    <row r="123" spans="20:24" x14ac:dyDescent="0.3">
      <c r="T123" t="s">
        <v>3</v>
      </c>
      <c r="U123" t="s">
        <v>37</v>
      </c>
      <c r="V123" t="s">
        <v>29</v>
      </c>
      <c r="W123" s="4">
        <v>4592</v>
      </c>
      <c r="X123" s="5">
        <v>324</v>
      </c>
    </row>
    <row r="124" spans="20:24" x14ac:dyDescent="0.3">
      <c r="T124" t="s">
        <v>7</v>
      </c>
      <c r="U124" t="s">
        <v>35</v>
      </c>
      <c r="V124" t="s">
        <v>19</v>
      </c>
      <c r="W124" s="4">
        <v>4585</v>
      </c>
      <c r="X124" s="5">
        <v>240</v>
      </c>
    </row>
    <row r="125" spans="20:24" x14ac:dyDescent="0.3">
      <c r="T125" t="s">
        <v>7</v>
      </c>
      <c r="U125" t="s">
        <v>37</v>
      </c>
      <c r="V125" t="s">
        <v>17</v>
      </c>
      <c r="W125" s="4">
        <v>4487</v>
      </c>
      <c r="X125" s="5">
        <v>111</v>
      </c>
    </row>
    <row r="126" spans="20:24" x14ac:dyDescent="0.3">
      <c r="T126" t="s">
        <v>7</v>
      </c>
      <c r="U126" t="s">
        <v>37</v>
      </c>
      <c r="V126" t="s">
        <v>16</v>
      </c>
      <c r="W126" s="4">
        <v>4487</v>
      </c>
      <c r="X126" s="5">
        <v>333</v>
      </c>
    </row>
    <row r="127" spans="20:24" x14ac:dyDescent="0.3">
      <c r="T127" t="s">
        <v>5</v>
      </c>
      <c r="U127" t="s">
        <v>35</v>
      </c>
      <c r="V127" t="s">
        <v>29</v>
      </c>
      <c r="W127" s="4">
        <v>4480</v>
      </c>
      <c r="X127" s="5">
        <v>357</v>
      </c>
    </row>
    <row r="128" spans="20:24" x14ac:dyDescent="0.3">
      <c r="T128" t="s">
        <v>7</v>
      </c>
      <c r="U128" t="s">
        <v>39</v>
      </c>
      <c r="V128" t="s">
        <v>17</v>
      </c>
      <c r="W128" s="4">
        <v>4438</v>
      </c>
      <c r="X128" s="5">
        <v>246</v>
      </c>
    </row>
    <row r="129" spans="20:24" x14ac:dyDescent="0.3">
      <c r="T129" t="s">
        <v>40</v>
      </c>
      <c r="U129" t="s">
        <v>36</v>
      </c>
      <c r="V129" t="s">
        <v>13</v>
      </c>
      <c r="W129" s="4">
        <v>4424</v>
      </c>
      <c r="X129" s="5">
        <v>201</v>
      </c>
    </row>
    <row r="130" spans="20:24" x14ac:dyDescent="0.3">
      <c r="T130" t="s">
        <v>2</v>
      </c>
      <c r="U130" t="s">
        <v>38</v>
      </c>
      <c r="V130" t="s">
        <v>23</v>
      </c>
      <c r="W130" s="4">
        <v>4417</v>
      </c>
      <c r="X130" s="5">
        <v>153</v>
      </c>
    </row>
    <row r="131" spans="20:24" x14ac:dyDescent="0.3">
      <c r="T131" t="s">
        <v>2</v>
      </c>
      <c r="U131" t="s">
        <v>38</v>
      </c>
      <c r="V131" t="s">
        <v>31</v>
      </c>
      <c r="W131" s="4">
        <v>4326</v>
      </c>
      <c r="X131" s="5">
        <v>348</v>
      </c>
    </row>
    <row r="132" spans="20:24" x14ac:dyDescent="0.3">
      <c r="T132" t="s">
        <v>6</v>
      </c>
      <c r="U132" t="s">
        <v>36</v>
      </c>
      <c r="V132" t="s">
        <v>13</v>
      </c>
      <c r="W132" s="4">
        <v>4319</v>
      </c>
      <c r="X132" s="5">
        <v>30</v>
      </c>
    </row>
    <row r="133" spans="20:24" x14ac:dyDescent="0.3">
      <c r="T133" t="s">
        <v>9</v>
      </c>
      <c r="U133" t="s">
        <v>37</v>
      </c>
      <c r="V133" t="s">
        <v>25</v>
      </c>
      <c r="W133" s="4">
        <v>4305</v>
      </c>
      <c r="X133" s="5">
        <v>156</v>
      </c>
    </row>
    <row r="134" spans="20:24" x14ac:dyDescent="0.3">
      <c r="T134" t="s">
        <v>6</v>
      </c>
      <c r="U134" t="s">
        <v>34</v>
      </c>
      <c r="V134" t="s">
        <v>27</v>
      </c>
      <c r="W134" s="4">
        <v>4242</v>
      </c>
      <c r="X134" s="5">
        <v>207</v>
      </c>
    </row>
    <row r="135" spans="20:24" x14ac:dyDescent="0.3">
      <c r="T135" t="s">
        <v>9</v>
      </c>
      <c r="U135" t="s">
        <v>38</v>
      </c>
      <c r="V135" t="s">
        <v>24</v>
      </c>
      <c r="W135" s="4">
        <v>4137</v>
      </c>
      <c r="X135" s="5">
        <v>60</v>
      </c>
    </row>
    <row r="136" spans="20:24" x14ac:dyDescent="0.3">
      <c r="T136" t="s">
        <v>10</v>
      </c>
      <c r="U136" t="s">
        <v>34</v>
      </c>
      <c r="V136" t="s">
        <v>22</v>
      </c>
      <c r="W136" s="4">
        <v>4053</v>
      </c>
      <c r="X136" s="5">
        <v>24</v>
      </c>
    </row>
    <row r="137" spans="20:24" x14ac:dyDescent="0.3">
      <c r="T137" t="s">
        <v>40</v>
      </c>
      <c r="U137" t="s">
        <v>34</v>
      </c>
      <c r="V137" t="s">
        <v>19</v>
      </c>
      <c r="W137" s="4">
        <v>4018</v>
      </c>
      <c r="X137" s="5">
        <v>162</v>
      </c>
    </row>
    <row r="138" spans="20:24" x14ac:dyDescent="0.3">
      <c r="T138" t="s">
        <v>5</v>
      </c>
      <c r="U138" t="s">
        <v>39</v>
      </c>
      <c r="V138" t="s">
        <v>24</v>
      </c>
      <c r="W138" s="4">
        <v>4018</v>
      </c>
      <c r="X138" s="5">
        <v>171</v>
      </c>
    </row>
    <row r="139" spans="20:24" x14ac:dyDescent="0.3">
      <c r="T139" t="s">
        <v>2</v>
      </c>
      <c r="U139" t="s">
        <v>39</v>
      </c>
      <c r="V139" t="s">
        <v>33</v>
      </c>
      <c r="W139" s="4">
        <v>4018</v>
      </c>
      <c r="X139" s="5">
        <v>126</v>
      </c>
    </row>
    <row r="140" spans="20:24" x14ac:dyDescent="0.3">
      <c r="T140" t="s">
        <v>3</v>
      </c>
      <c r="U140" t="s">
        <v>37</v>
      </c>
      <c r="V140" t="s">
        <v>17</v>
      </c>
      <c r="W140" s="4">
        <v>3983</v>
      </c>
      <c r="X140" s="5">
        <v>144</v>
      </c>
    </row>
    <row r="141" spans="20:24" x14ac:dyDescent="0.3">
      <c r="T141" t="s">
        <v>41</v>
      </c>
      <c r="U141" t="s">
        <v>39</v>
      </c>
      <c r="V141" t="s">
        <v>14</v>
      </c>
      <c r="W141" s="4">
        <v>3976</v>
      </c>
      <c r="X141" s="5">
        <v>72</v>
      </c>
    </row>
    <row r="142" spans="20:24" x14ac:dyDescent="0.3">
      <c r="T142" t="s">
        <v>9</v>
      </c>
      <c r="U142" t="s">
        <v>39</v>
      </c>
      <c r="V142" t="s">
        <v>24</v>
      </c>
      <c r="W142" s="4">
        <v>3920</v>
      </c>
      <c r="X142" s="5">
        <v>306</v>
      </c>
    </row>
    <row r="143" spans="20:24" x14ac:dyDescent="0.3">
      <c r="T143" t="s">
        <v>6</v>
      </c>
      <c r="U143" t="s">
        <v>35</v>
      </c>
      <c r="V143" t="s">
        <v>27</v>
      </c>
      <c r="W143" s="4">
        <v>3864</v>
      </c>
      <c r="X143" s="5">
        <v>177</v>
      </c>
    </row>
    <row r="144" spans="20:24" x14ac:dyDescent="0.3">
      <c r="T144" t="s">
        <v>9</v>
      </c>
      <c r="U144" t="s">
        <v>38</v>
      </c>
      <c r="V144" t="s">
        <v>25</v>
      </c>
      <c r="W144" s="4">
        <v>3850</v>
      </c>
      <c r="X144" s="5">
        <v>102</v>
      </c>
    </row>
    <row r="145" spans="20:24" x14ac:dyDescent="0.3">
      <c r="T145" t="s">
        <v>7</v>
      </c>
      <c r="U145" t="s">
        <v>34</v>
      </c>
      <c r="V145" t="s">
        <v>15</v>
      </c>
      <c r="W145" s="4">
        <v>3829</v>
      </c>
      <c r="X145" s="5">
        <v>24</v>
      </c>
    </row>
    <row r="146" spans="20:24" x14ac:dyDescent="0.3">
      <c r="T146" t="s">
        <v>10</v>
      </c>
      <c r="U146" t="s">
        <v>35</v>
      </c>
      <c r="V146" t="s">
        <v>18</v>
      </c>
      <c r="W146" s="4">
        <v>3808</v>
      </c>
      <c r="X146" s="5">
        <v>279</v>
      </c>
    </row>
    <row r="147" spans="20:24" x14ac:dyDescent="0.3">
      <c r="T147" t="s">
        <v>40</v>
      </c>
      <c r="U147" t="s">
        <v>34</v>
      </c>
      <c r="V147" t="s">
        <v>33</v>
      </c>
      <c r="W147" s="4">
        <v>3794</v>
      </c>
      <c r="X147" s="5">
        <v>159</v>
      </c>
    </row>
    <row r="148" spans="20:24" x14ac:dyDescent="0.3">
      <c r="T148" t="s">
        <v>3</v>
      </c>
      <c r="U148" t="s">
        <v>36</v>
      </c>
      <c r="V148" t="s">
        <v>23</v>
      </c>
      <c r="W148" s="4">
        <v>3773</v>
      </c>
      <c r="X148" s="5">
        <v>165</v>
      </c>
    </row>
    <row r="149" spans="20:24" x14ac:dyDescent="0.3">
      <c r="T149" t="s">
        <v>6</v>
      </c>
      <c r="U149" t="s">
        <v>34</v>
      </c>
      <c r="V149" t="s">
        <v>17</v>
      </c>
      <c r="W149" s="4">
        <v>3759</v>
      </c>
      <c r="X149" s="5">
        <v>150</v>
      </c>
    </row>
    <row r="150" spans="20:24" x14ac:dyDescent="0.3">
      <c r="T150" t="s">
        <v>8</v>
      </c>
      <c r="U150" t="s">
        <v>38</v>
      </c>
      <c r="V150" t="s">
        <v>32</v>
      </c>
      <c r="W150" s="4">
        <v>3752</v>
      </c>
      <c r="X150" s="5">
        <v>213</v>
      </c>
    </row>
    <row r="151" spans="20:24" x14ac:dyDescent="0.3">
      <c r="T151" t="s">
        <v>3</v>
      </c>
      <c r="U151" t="s">
        <v>34</v>
      </c>
      <c r="V151" t="s">
        <v>28</v>
      </c>
      <c r="W151" s="4">
        <v>3689</v>
      </c>
      <c r="X151" s="5">
        <v>312</v>
      </c>
    </row>
    <row r="152" spans="20:24" x14ac:dyDescent="0.3">
      <c r="T152" t="s">
        <v>3</v>
      </c>
      <c r="U152" t="s">
        <v>39</v>
      </c>
      <c r="V152" t="s">
        <v>29</v>
      </c>
      <c r="W152" s="4">
        <v>3640</v>
      </c>
      <c r="X152" s="5">
        <v>51</v>
      </c>
    </row>
    <row r="153" spans="20:24" x14ac:dyDescent="0.3">
      <c r="T153" t="s">
        <v>8</v>
      </c>
      <c r="U153" t="s">
        <v>35</v>
      </c>
      <c r="V153" t="s">
        <v>30</v>
      </c>
      <c r="W153" s="4">
        <v>3598</v>
      </c>
      <c r="X153" s="5">
        <v>81</v>
      </c>
    </row>
    <row r="154" spans="20:24" x14ac:dyDescent="0.3">
      <c r="T154" t="s">
        <v>6</v>
      </c>
      <c r="U154" t="s">
        <v>37</v>
      </c>
      <c r="V154" t="s">
        <v>28</v>
      </c>
      <c r="W154" s="4">
        <v>3556</v>
      </c>
      <c r="X154" s="5">
        <v>459</v>
      </c>
    </row>
    <row r="155" spans="20:24" x14ac:dyDescent="0.3">
      <c r="T155" t="s">
        <v>2</v>
      </c>
      <c r="U155" t="s">
        <v>38</v>
      </c>
      <c r="V155" t="s">
        <v>4</v>
      </c>
      <c r="W155" s="4">
        <v>3549</v>
      </c>
      <c r="X155" s="5">
        <v>3</v>
      </c>
    </row>
    <row r="156" spans="20:24" x14ac:dyDescent="0.3">
      <c r="T156" t="s">
        <v>8</v>
      </c>
      <c r="U156" t="s">
        <v>34</v>
      </c>
      <c r="V156" t="s">
        <v>31</v>
      </c>
      <c r="W156" s="4">
        <v>3507</v>
      </c>
      <c r="X156" s="5">
        <v>288</v>
      </c>
    </row>
    <row r="157" spans="20:24" x14ac:dyDescent="0.3">
      <c r="T157" t="s">
        <v>10</v>
      </c>
      <c r="U157" t="s">
        <v>35</v>
      </c>
      <c r="V157" t="s">
        <v>14</v>
      </c>
      <c r="W157" s="4">
        <v>3472</v>
      </c>
      <c r="X157" s="5">
        <v>96</v>
      </c>
    </row>
    <row r="158" spans="20:24" x14ac:dyDescent="0.3">
      <c r="T158" t="s">
        <v>6</v>
      </c>
      <c r="U158" t="s">
        <v>34</v>
      </c>
      <c r="V158" t="s">
        <v>30</v>
      </c>
      <c r="W158" s="4">
        <v>3402</v>
      </c>
      <c r="X158" s="5">
        <v>366</v>
      </c>
    </row>
    <row r="159" spans="20:24" x14ac:dyDescent="0.3">
      <c r="T159" t="s">
        <v>41</v>
      </c>
      <c r="U159" t="s">
        <v>37</v>
      </c>
      <c r="V159" t="s">
        <v>20</v>
      </c>
      <c r="W159" s="4">
        <v>3388</v>
      </c>
      <c r="X159" s="5">
        <v>123</v>
      </c>
    </row>
    <row r="160" spans="20:24" x14ac:dyDescent="0.3">
      <c r="T160" t="s">
        <v>6</v>
      </c>
      <c r="U160" t="s">
        <v>34</v>
      </c>
      <c r="V160" t="s">
        <v>29</v>
      </c>
      <c r="W160" s="4">
        <v>3339</v>
      </c>
      <c r="X160" s="5">
        <v>75</v>
      </c>
    </row>
    <row r="161" spans="20:24" x14ac:dyDescent="0.3">
      <c r="T161" t="s">
        <v>3</v>
      </c>
      <c r="U161" t="s">
        <v>36</v>
      </c>
      <c r="V161" t="s">
        <v>25</v>
      </c>
      <c r="W161" s="4">
        <v>3339</v>
      </c>
      <c r="X161" s="5">
        <v>39</v>
      </c>
    </row>
    <row r="162" spans="20:24" x14ac:dyDescent="0.3">
      <c r="T162" t="s">
        <v>5</v>
      </c>
      <c r="U162" t="s">
        <v>36</v>
      </c>
      <c r="V162" t="s">
        <v>17</v>
      </c>
      <c r="W162" s="4">
        <v>3339</v>
      </c>
      <c r="X162" s="5">
        <v>348</v>
      </c>
    </row>
    <row r="163" spans="20:24" x14ac:dyDescent="0.3">
      <c r="T163" t="s">
        <v>7</v>
      </c>
      <c r="U163" t="s">
        <v>34</v>
      </c>
      <c r="V163" t="s">
        <v>32</v>
      </c>
      <c r="W163" s="4">
        <v>3262</v>
      </c>
      <c r="X163" s="5">
        <v>75</v>
      </c>
    </row>
    <row r="164" spans="20:24" x14ac:dyDescent="0.3">
      <c r="T164" t="s">
        <v>9</v>
      </c>
      <c r="U164" t="s">
        <v>39</v>
      </c>
      <c r="V164" t="s">
        <v>25</v>
      </c>
      <c r="W164" s="4">
        <v>3192</v>
      </c>
      <c r="X164" s="5">
        <v>72</v>
      </c>
    </row>
    <row r="165" spans="20:24" x14ac:dyDescent="0.3">
      <c r="T165" t="s">
        <v>40</v>
      </c>
      <c r="U165" t="s">
        <v>36</v>
      </c>
      <c r="V165" t="s">
        <v>27</v>
      </c>
      <c r="W165" s="4">
        <v>3164</v>
      </c>
      <c r="X165" s="5">
        <v>306</v>
      </c>
    </row>
    <row r="166" spans="20:24" x14ac:dyDescent="0.3">
      <c r="T166" t="s">
        <v>3</v>
      </c>
      <c r="U166" t="s">
        <v>34</v>
      </c>
      <c r="V166" t="s">
        <v>26</v>
      </c>
      <c r="W166" s="4">
        <v>3108</v>
      </c>
      <c r="X166" s="5">
        <v>54</v>
      </c>
    </row>
    <row r="167" spans="20:24" x14ac:dyDescent="0.3">
      <c r="T167" t="s">
        <v>40</v>
      </c>
      <c r="U167" t="s">
        <v>39</v>
      </c>
      <c r="V167" t="s">
        <v>28</v>
      </c>
      <c r="W167" s="4">
        <v>3101</v>
      </c>
      <c r="X167" s="5">
        <v>225</v>
      </c>
    </row>
    <row r="168" spans="20:24" x14ac:dyDescent="0.3">
      <c r="T168" t="s">
        <v>2</v>
      </c>
      <c r="U168" t="s">
        <v>36</v>
      </c>
      <c r="V168" t="s">
        <v>31</v>
      </c>
      <c r="W168" s="4">
        <v>3094</v>
      </c>
      <c r="X168" s="5">
        <v>246</v>
      </c>
    </row>
    <row r="169" spans="20:24" x14ac:dyDescent="0.3">
      <c r="T169" t="s">
        <v>10</v>
      </c>
      <c r="U169" t="s">
        <v>37</v>
      </c>
      <c r="V169" t="s">
        <v>28</v>
      </c>
      <c r="W169" s="4">
        <v>3059</v>
      </c>
      <c r="X169" s="5">
        <v>27</v>
      </c>
    </row>
    <row r="170" spans="20:24" x14ac:dyDescent="0.3">
      <c r="T170" t="s">
        <v>6</v>
      </c>
      <c r="U170" t="s">
        <v>39</v>
      </c>
      <c r="V170" t="s">
        <v>29</v>
      </c>
      <c r="W170" s="4">
        <v>3052</v>
      </c>
      <c r="X170" s="5">
        <v>378</v>
      </c>
    </row>
    <row r="171" spans="20:24" x14ac:dyDescent="0.3">
      <c r="T171" t="s">
        <v>6</v>
      </c>
      <c r="U171" t="s">
        <v>39</v>
      </c>
      <c r="V171" t="s">
        <v>24</v>
      </c>
      <c r="W171" s="4">
        <v>2989</v>
      </c>
      <c r="X171" s="5">
        <v>3</v>
      </c>
    </row>
    <row r="172" spans="20:24" x14ac:dyDescent="0.3">
      <c r="T172" t="s">
        <v>9</v>
      </c>
      <c r="U172" t="s">
        <v>36</v>
      </c>
      <c r="V172" t="s">
        <v>32</v>
      </c>
      <c r="W172" s="4">
        <v>2954</v>
      </c>
      <c r="X172" s="5">
        <v>189</v>
      </c>
    </row>
    <row r="173" spans="20:24" x14ac:dyDescent="0.3">
      <c r="T173" t="s">
        <v>41</v>
      </c>
      <c r="U173" t="s">
        <v>37</v>
      </c>
      <c r="V173" t="s">
        <v>21</v>
      </c>
      <c r="W173" s="4">
        <v>2933</v>
      </c>
      <c r="X173" s="5">
        <v>9</v>
      </c>
    </row>
    <row r="174" spans="20:24" x14ac:dyDescent="0.3">
      <c r="T174" t="s">
        <v>9</v>
      </c>
      <c r="U174" t="s">
        <v>37</v>
      </c>
      <c r="V174" t="s">
        <v>28</v>
      </c>
      <c r="W174" s="4">
        <v>2919</v>
      </c>
      <c r="X174" s="5">
        <v>45</v>
      </c>
    </row>
    <row r="175" spans="20:24" x14ac:dyDescent="0.3">
      <c r="T175" t="s">
        <v>3</v>
      </c>
      <c r="U175" t="s">
        <v>34</v>
      </c>
      <c r="V175" t="s">
        <v>17</v>
      </c>
      <c r="W175" s="4">
        <v>2919</v>
      </c>
      <c r="X175" s="5">
        <v>93</v>
      </c>
    </row>
    <row r="176" spans="20:24" x14ac:dyDescent="0.3">
      <c r="T176" t="s">
        <v>5</v>
      </c>
      <c r="U176" t="s">
        <v>34</v>
      </c>
      <c r="V176" t="s">
        <v>29</v>
      </c>
      <c r="W176" s="4">
        <v>2891</v>
      </c>
      <c r="X176" s="5">
        <v>102</v>
      </c>
    </row>
    <row r="177" spans="20:24" x14ac:dyDescent="0.3">
      <c r="T177" t="s">
        <v>7</v>
      </c>
      <c r="U177" t="s">
        <v>36</v>
      </c>
      <c r="V177" t="s">
        <v>19</v>
      </c>
      <c r="W177" s="4">
        <v>2870</v>
      </c>
      <c r="X177" s="5">
        <v>300</v>
      </c>
    </row>
    <row r="178" spans="20:24" x14ac:dyDescent="0.3">
      <c r="T178" t="s">
        <v>2</v>
      </c>
      <c r="U178" t="s">
        <v>37</v>
      </c>
      <c r="V178" t="s">
        <v>15</v>
      </c>
      <c r="W178" s="4">
        <v>2863</v>
      </c>
      <c r="X178" s="5">
        <v>42</v>
      </c>
    </row>
    <row r="179" spans="20:24" x14ac:dyDescent="0.3">
      <c r="T179" t="s">
        <v>9</v>
      </c>
      <c r="U179" t="s">
        <v>37</v>
      </c>
      <c r="V179" t="s">
        <v>26</v>
      </c>
      <c r="W179" s="4">
        <v>2856</v>
      </c>
      <c r="X179" s="5">
        <v>246</v>
      </c>
    </row>
    <row r="180" spans="20:24" x14ac:dyDescent="0.3">
      <c r="T180" t="s">
        <v>7</v>
      </c>
      <c r="U180" t="s">
        <v>35</v>
      </c>
      <c r="V180" t="s">
        <v>24</v>
      </c>
      <c r="W180" s="4">
        <v>2793</v>
      </c>
      <c r="X180" s="5">
        <v>114</v>
      </c>
    </row>
    <row r="181" spans="20:24" x14ac:dyDescent="0.3">
      <c r="T181" t="s">
        <v>40</v>
      </c>
      <c r="U181" t="s">
        <v>34</v>
      </c>
      <c r="V181" t="s">
        <v>23</v>
      </c>
      <c r="W181" s="4">
        <v>2779</v>
      </c>
      <c r="X181" s="5">
        <v>75</v>
      </c>
    </row>
    <row r="182" spans="20:24" x14ac:dyDescent="0.3">
      <c r="T182" t="s">
        <v>5</v>
      </c>
      <c r="U182" t="s">
        <v>35</v>
      </c>
      <c r="V182" t="s">
        <v>4</v>
      </c>
      <c r="W182" s="4">
        <v>2744</v>
      </c>
      <c r="X182" s="5">
        <v>9</v>
      </c>
    </row>
    <row r="183" spans="20:24" x14ac:dyDescent="0.3">
      <c r="T183" t="s">
        <v>9</v>
      </c>
      <c r="U183" t="s">
        <v>37</v>
      </c>
      <c r="V183" t="s">
        <v>23</v>
      </c>
      <c r="W183" s="4">
        <v>2737</v>
      </c>
      <c r="X183" s="5">
        <v>93</v>
      </c>
    </row>
    <row r="184" spans="20:24" x14ac:dyDescent="0.3">
      <c r="T184" t="s">
        <v>8</v>
      </c>
      <c r="U184" t="s">
        <v>35</v>
      </c>
      <c r="V184" t="s">
        <v>20</v>
      </c>
      <c r="W184" s="4">
        <v>2702</v>
      </c>
      <c r="X184" s="5">
        <v>363</v>
      </c>
    </row>
    <row r="185" spans="20:24" x14ac:dyDescent="0.3">
      <c r="T185" t="s">
        <v>6</v>
      </c>
      <c r="U185" t="s">
        <v>38</v>
      </c>
      <c r="V185" t="s">
        <v>31</v>
      </c>
      <c r="W185" s="4">
        <v>2681</v>
      </c>
      <c r="X185" s="5">
        <v>54</v>
      </c>
    </row>
    <row r="186" spans="20:24" x14ac:dyDescent="0.3">
      <c r="T186" t="s">
        <v>9</v>
      </c>
      <c r="U186" t="s">
        <v>38</v>
      </c>
      <c r="V186" t="s">
        <v>16</v>
      </c>
      <c r="W186" s="4">
        <v>2646</v>
      </c>
      <c r="X186" s="5">
        <v>120</v>
      </c>
    </row>
    <row r="187" spans="20:24" x14ac:dyDescent="0.3">
      <c r="T187" t="s">
        <v>7</v>
      </c>
      <c r="U187" t="s">
        <v>36</v>
      </c>
      <c r="V187" t="s">
        <v>18</v>
      </c>
      <c r="W187" s="4">
        <v>2646</v>
      </c>
      <c r="X187" s="5">
        <v>177</v>
      </c>
    </row>
    <row r="188" spans="20:24" x14ac:dyDescent="0.3">
      <c r="T188" t="s">
        <v>9</v>
      </c>
      <c r="U188" t="s">
        <v>39</v>
      </c>
      <c r="V188" t="s">
        <v>18</v>
      </c>
      <c r="W188" s="4">
        <v>2639</v>
      </c>
      <c r="X188" s="5">
        <v>204</v>
      </c>
    </row>
    <row r="189" spans="20:24" x14ac:dyDescent="0.3">
      <c r="T189" t="s">
        <v>3</v>
      </c>
      <c r="U189" t="s">
        <v>34</v>
      </c>
      <c r="V189" t="s">
        <v>20</v>
      </c>
      <c r="W189" s="4">
        <v>2583</v>
      </c>
      <c r="X189" s="5">
        <v>18</v>
      </c>
    </row>
    <row r="190" spans="20:24" x14ac:dyDescent="0.3">
      <c r="T190" t="s">
        <v>10</v>
      </c>
      <c r="U190" t="s">
        <v>35</v>
      </c>
      <c r="V190" t="s">
        <v>15</v>
      </c>
      <c r="W190" s="4">
        <v>2562</v>
      </c>
      <c r="X190" s="5">
        <v>6</v>
      </c>
    </row>
    <row r="191" spans="20:24" x14ac:dyDescent="0.3">
      <c r="T191" t="s">
        <v>40</v>
      </c>
      <c r="U191" t="s">
        <v>38</v>
      </c>
      <c r="V191" t="s">
        <v>25</v>
      </c>
      <c r="W191" s="4">
        <v>2541</v>
      </c>
      <c r="X191" s="5">
        <v>90</v>
      </c>
    </row>
    <row r="192" spans="20:24" x14ac:dyDescent="0.3">
      <c r="T192" t="s">
        <v>40</v>
      </c>
      <c r="U192" t="s">
        <v>38</v>
      </c>
      <c r="V192" t="s">
        <v>29</v>
      </c>
      <c r="W192" s="4">
        <v>2541</v>
      </c>
      <c r="X192" s="5">
        <v>45</v>
      </c>
    </row>
    <row r="193" spans="20:24" x14ac:dyDescent="0.3">
      <c r="T193" t="s">
        <v>7</v>
      </c>
      <c r="U193" t="s">
        <v>35</v>
      </c>
      <c r="V193" t="s">
        <v>27</v>
      </c>
      <c r="W193" s="4">
        <v>2478</v>
      </c>
      <c r="X193" s="5">
        <v>21</v>
      </c>
    </row>
    <row r="194" spans="20:24" x14ac:dyDescent="0.3">
      <c r="T194" t="s">
        <v>10</v>
      </c>
      <c r="U194" t="s">
        <v>36</v>
      </c>
      <c r="V194" t="s">
        <v>29</v>
      </c>
      <c r="W194" s="4">
        <v>2471</v>
      </c>
      <c r="X194" s="5">
        <v>342</v>
      </c>
    </row>
    <row r="195" spans="20:24" x14ac:dyDescent="0.3">
      <c r="T195" t="s">
        <v>3</v>
      </c>
      <c r="U195" t="s">
        <v>35</v>
      </c>
      <c r="V195" t="s">
        <v>25</v>
      </c>
      <c r="W195" s="4">
        <v>2464</v>
      </c>
      <c r="X195" s="5">
        <v>234</v>
      </c>
    </row>
    <row r="196" spans="20:24" x14ac:dyDescent="0.3">
      <c r="T196" t="s">
        <v>9</v>
      </c>
      <c r="U196" t="s">
        <v>38</v>
      </c>
      <c r="V196" t="s">
        <v>26</v>
      </c>
      <c r="W196" s="4">
        <v>2436</v>
      </c>
      <c r="X196" s="5">
        <v>99</v>
      </c>
    </row>
    <row r="197" spans="20:24" x14ac:dyDescent="0.3">
      <c r="T197" t="s">
        <v>9</v>
      </c>
      <c r="U197" t="s">
        <v>35</v>
      </c>
      <c r="V197" t="s">
        <v>27</v>
      </c>
      <c r="W197" s="4">
        <v>2429</v>
      </c>
      <c r="X197" s="5">
        <v>144</v>
      </c>
    </row>
    <row r="198" spans="20:24" x14ac:dyDescent="0.3">
      <c r="T198" t="s">
        <v>3</v>
      </c>
      <c r="U198" t="s">
        <v>35</v>
      </c>
      <c r="V198" t="s">
        <v>14</v>
      </c>
      <c r="W198" s="4">
        <v>2415</v>
      </c>
      <c r="X198" s="5">
        <v>255</v>
      </c>
    </row>
    <row r="199" spans="20:24" x14ac:dyDescent="0.3">
      <c r="T199" t="s">
        <v>5</v>
      </c>
      <c r="U199" t="s">
        <v>35</v>
      </c>
      <c r="V199" t="s">
        <v>18</v>
      </c>
      <c r="W199" s="4">
        <v>2415</v>
      </c>
      <c r="X199" s="5">
        <v>15</v>
      </c>
    </row>
    <row r="200" spans="20:24" x14ac:dyDescent="0.3">
      <c r="T200" t="s">
        <v>9</v>
      </c>
      <c r="U200" t="s">
        <v>38</v>
      </c>
      <c r="V200" t="s">
        <v>17</v>
      </c>
      <c r="W200" s="4">
        <v>2408</v>
      </c>
      <c r="X200" s="5">
        <v>9</v>
      </c>
    </row>
    <row r="201" spans="20:24" x14ac:dyDescent="0.3">
      <c r="T201" t="s">
        <v>41</v>
      </c>
      <c r="U201" t="s">
        <v>37</v>
      </c>
      <c r="V201" t="s">
        <v>26</v>
      </c>
      <c r="W201" s="4">
        <v>2324</v>
      </c>
      <c r="X201" s="5">
        <v>177</v>
      </c>
    </row>
    <row r="202" spans="20:24" x14ac:dyDescent="0.3">
      <c r="T202" t="s">
        <v>10</v>
      </c>
      <c r="U202" t="s">
        <v>36</v>
      </c>
      <c r="V202" t="s">
        <v>23</v>
      </c>
      <c r="W202" s="4">
        <v>2317</v>
      </c>
      <c r="X202" s="5">
        <v>261</v>
      </c>
    </row>
    <row r="203" spans="20:24" x14ac:dyDescent="0.3">
      <c r="T203" t="s">
        <v>6</v>
      </c>
      <c r="U203" t="s">
        <v>38</v>
      </c>
      <c r="V203" t="s">
        <v>13</v>
      </c>
      <c r="W203" s="4">
        <v>2317</v>
      </c>
      <c r="X203" s="5">
        <v>123</v>
      </c>
    </row>
    <row r="204" spans="20:24" x14ac:dyDescent="0.3">
      <c r="T204" t="s">
        <v>40</v>
      </c>
      <c r="U204" t="s">
        <v>34</v>
      </c>
      <c r="V204" t="s">
        <v>27</v>
      </c>
      <c r="W204" s="4">
        <v>2289</v>
      </c>
      <c r="X204" s="5">
        <v>135</v>
      </c>
    </row>
    <row r="205" spans="20:24" x14ac:dyDescent="0.3">
      <c r="T205" t="s">
        <v>40</v>
      </c>
      <c r="U205" t="s">
        <v>35</v>
      </c>
      <c r="V205" t="s">
        <v>30</v>
      </c>
      <c r="W205" s="4">
        <v>2275</v>
      </c>
      <c r="X205" s="5">
        <v>447</v>
      </c>
    </row>
    <row r="206" spans="20:24" x14ac:dyDescent="0.3">
      <c r="T206" t="s">
        <v>8</v>
      </c>
      <c r="U206" t="s">
        <v>38</v>
      </c>
      <c r="V206" t="s">
        <v>27</v>
      </c>
      <c r="W206" s="4">
        <v>2268</v>
      </c>
      <c r="X206" s="5">
        <v>63</v>
      </c>
    </row>
    <row r="207" spans="20:24" x14ac:dyDescent="0.3">
      <c r="T207" t="s">
        <v>7</v>
      </c>
      <c r="U207" t="s">
        <v>34</v>
      </c>
      <c r="V207" t="s">
        <v>33</v>
      </c>
      <c r="W207" s="4">
        <v>2226</v>
      </c>
      <c r="X207" s="5">
        <v>48</v>
      </c>
    </row>
    <row r="208" spans="20:24" x14ac:dyDescent="0.3">
      <c r="T208" t="s">
        <v>6</v>
      </c>
      <c r="U208" t="s">
        <v>34</v>
      </c>
      <c r="V208" t="s">
        <v>16</v>
      </c>
      <c r="W208" s="4">
        <v>2219</v>
      </c>
      <c r="X208" s="5">
        <v>75</v>
      </c>
    </row>
    <row r="209" spans="20:24" x14ac:dyDescent="0.3">
      <c r="T209" t="s">
        <v>3</v>
      </c>
      <c r="U209" t="s">
        <v>34</v>
      </c>
      <c r="V209" t="s">
        <v>23</v>
      </c>
      <c r="W209" s="4">
        <v>2212</v>
      </c>
      <c r="X209" s="5">
        <v>117</v>
      </c>
    </row>
    <row r="210" spans="20:24" x14ac:dyDescent="0.3">
      <c r="T210" t="s">
        <v>10</v>
      </c>
      <c r="U210" t="s">
        <v>38</v>
      </c>
      <c r="V210" t="s">
        <v>22</v>
      </c>
      <c r="W210" s="4">
        <v>2205</v>
      </c>
      <c r="X210" s="5">
        <v>141</v>
      </c>
    </row>
    <row r="211" spans="20:24" x14ac:dyDescent="0.3">
      <c r="T211" t="s">
        <v>7</v>
      </c>
      <c r="U211" t="s">
        <v>34</v>
      </c>
      <c r="V211" t="s">
        <v>20</v>
      </c>
      <c r="W211" s="4">
        <v>2205</v>
      </c>
      <c r="X211" s="5">
        <v>138</v>
      </c>
    </row>
    <row r="212" spans="20:24" x14ac:dyDescent="0.3">
      <c r="T212" t="s">
        <v>7</v>
      </c>
      <c r="U212" t="s">
        <v>36</v>
      </c>
      <c r="V212" t="s">
        <v>31</v>
      </c>
      <c r="W212" s="4">
        <v>2149</v>
      </c>
      <c r="X212" s="5">
        <v>117</v>
      </c>
    </row>
    <row r="213" spans="20:24" x14ac:dyDescent="0.3">
      <c r="T213" t="s">
        <v>9</v>
      </c>
      <c r="U213" t="s">
        <v>36</v>
      </c>
      <c r="V213" t="s">
        <v>25</v>
      </c>
      <c r="W213" s="4">
        <v>2142</v>
      </c>
      <c r="X213" s="5">
        <v>114</v>
      </c>
    </row>
    <row r="214" spans="20:24" x14ac:dyDescent="0.3">
      <c r="T214" t="s">
        <v>7</v>
      </c>
      <c r="U214" t="s">
        <v>35</v>
      </c>
      <c r="V214" t="s">
        <v>16</v>
      </c>
      <c r="W214" s="4">
        <v>2135</v>
      </c>
      <c r="X214" s="5">
        <v>27</v>
      </c>
    </row>
    <row r="215" spans="20:24" x14ac:dyDescent="0.3">
      <c r="T215" t="s">
        <v>3</v>
      </c>
      <c r="U215" t="s">
        <v>35</v>
      </c>
      <c r="V215" t="s">
        <v>29</v>
      </c>
      <c r="W215" s="4">
        <v>2114</v>
      </c>
      <c r="X215" s="5">
        <v>66</v>
      </c>
    </row>
    <row r="216" spans="20:24" x14ac:dyDescent="0.3">
      <c r="T216" t="s">
        <v>41</v>
      </c>
      <c r="U216" t="s">
        <v>35</v>
      </c>
      <c r="V216" t="s">
        <v>15</v>
      </c>
      <c r="W216" s="4">
        <v>2114</v>
      </c>
      <c r="X216" s="5">
        <v>186</v>
      </c>
    </row>
    <row r="217" spans="20:24" x14ac:dyDescent="0.3">
      <c r="T217" t="s">
        <v>6</v>
      </c>
      <c r="U217" t="s">
        <v>39</v>
      </c>
      <c r="V217" t="s">
        <v>25</v>
      </c>
      <c r="W217" s="4">
        <v>2100</v>
      </c>
      <c r="X217" s="5">
        <v>414</v>
      </c>
    </row>
    <row r="218" spans="20:24" x14ac:dyDescent="0.3">
      <c r="T218" t="s">
        <v>8</v>
      </c>
      <c r="U218" t="s">
        <v>35</v>
      </c>
      <c r="V218" t="s">
        <v>29</v>
      </c>
      <c r="W218" s="4">
        <v>2023</v>
      </c>
      <c r="X218" s="5">
        <v>168</v>
      </c>
    </row>
    <row r="219" spans="20:24" x14ac:dyDescent="0.3">
      <c r="T219" t="s">
        <v>3</v>
      </c>
      <c r="U219" t="s">
        <v>35</v>
      </c>
      <c r="V219" t="s">
        <v>23</v>
      </c>
      <c r="W219" s="4">
        <v>2023</v>
      </c>
      <c r="X219" s="5">
        <v>78</v>
      </c>
    </row>
    <row r="220" spans="20:24" x14ac:dyDescent="0.3">
      <c r="T220" t="s">
        <v>2</v>
      </c>
      <c r="U220" t="s">
        <v>39</v>
      </c>
      <c r="V220" t="s">
        <v>16</v>
      </c>
      <c r="W220" s="4">
        <v>2016</v>
      </c>
      <c r="X220" s="5">
        <v>117</v>
      </c>
    </row>
    <row r="221" spans="20:24" x14ac:dyDescent="0.3">
      <c r="T221" t="s">
        <v>8</v>
      </c>
      <c r="U221" t="s">
        <v>34</v>
      </c>
      <c r="V221" t="s">
        <v>16</v>
      </c>
      <c r="W221" s="4">
        <v>2009</v>
      </c>
      <c r="X221" s="5">
        <v>219</v>
      </c>
    </row>
    <row r="222" spans="20:24" x14ac:dyDescent="0.3">
      <c r="T222" t="s">
        <v>40</v>
      </c>
      <c r="U222" t="s">
        <v>38</v>
      </c>
      <c r="V222" t="s">
        <v>31</v>
      </c>
      <c r="W222" s="4">
        <v>1988</v>
      </c>
      <c r="X222" s="5">
        <v>39</v>
      </c>
    </row>
    <row r="223" spans="20:24" x14ac:dyDescent="0.3">
      <c r="T223" t="s">
        <v>10</v>
      </c>
      <c r="U223" t="s">
        <v>35</v>
      </c>
      <c r="V223" t="s">
        <v>20</v>
      </c>
      <c r="W223" s="4">
        <v>1974</v>
      </c>
      <c r="X223" s="5">
        <v>195</v>
      </c>
    </row>
    <row r="224" spans="20:24" x14ac:dyDescent="0.3">
      <c r="T224" t="s">
        <v>7</v>
      </c>
      <c r="U224" t="s">
        <v>34</v>
      </c>
      <c r="V224" t="s">
        <v>14</v>
      </c>
      <c r="W224" s="4">
        <v>1932</v>
      </c>
      <c r="X224" s="5">
        <v>369</v>
      </c>
    </row>
    <row r="225" spans="20:24" x14ac:dyDescent="0.3">
      <c r="T225" t="s">
        <v>41</v>
      </c>
      <c r="U225" t="s">
        <v>36</v>
      </c>
      <c r="V225" t="s">
        <v>19</v>
      </c>
      <c r="W225" s="4">
        <v>1925</v>
      </c>
      <c r="X225" s="5">
        <v>192</v>
      </c>
    </row>
    <row r="226" spans="20:24" x14ac:dyDescent="0.3">
      <c r="T226" t="s">
        <v>6</v>
      </c>
      <c r="U226" t="s">
        <v>37</v>
      </c>
      <c r="V226" t="s">
        <v>16</v>
      </c>
      <c r="W226" s="4">
        <v>1904</v>
      </c>
      <c r="X226" s="5">
        <v>405</v>
      </c>
    </row>
    <row r="227" spans="20:24" x14ac:dyDescent="0.3">
      <c r="T227" t="s">
        <v>8</v>
      </c>
      <c r="U227" t="s">
        <v>37</v>
      </c>
      <c r="V227" t="s">
        <v>22</v>
      </c>
      <c r="W227" s="4">
        <v>1890</v>
      </c>
      <c r="X227" s="5">
        <v>195</v>
      </c>
    </row>
    <row r="228" spans="20:24" x14ac:dyDescent="0.3">
      <c r="T228" t="s">
        <v>2</v>
      </c>
      <c r="U228" t="s">
        <v>39</v>
      </c>
      <c r="V228" t="s">
        <v>25</v>
      </c>
      <c r="W228" s="4">
        <v>1785</v>
      </c>
      <c r="X228" s="5">
        <v>462</v>
      </c>
    </row>
    <row r="229" spans="20:24" x14ac:dyDescent="0.3">
      <c r="T229" t="s">
        <v>7</v>
      </c>
      <c r="U229" t="s">
        <v>38</v>
      </c>
      <c r="V229" t="s">
        <v>18</v>
      </c>
      <c r="W229" s="4">
        <v>1778</v>
      </c>
      <c r="X229" s="5">
        <v>270</v>
      </c>
    </row>
    <row r="230" spans="20:24" x14ac:dyDescent="0.3">
      <c r="T230" t="s">
        <v>8</v>
      </c>
      <c r="U230" t="s">
        <v>37</v>
      </c>
      <c r="V230" t="s">
        <v>19</v>
      </c>
      <c r="W230" s="4">
        <v>1771</v>
      </c>
      <c r="X230" s="5">
        <v>204</v>
      </c>
    </row>
    <row r="231" spans="20:24" x14ac:dyDescent="0.3">
      <c r="T231" t="s">
        <v>8</v>
      </c>
      <c r="U231" t="s">
        <v>38</v>
      </c>
      <c r="V231" t="s">
        <v>23</v>
      </c>
      <c r="W231" s="4">
        <v>1701</v>
      </c>
      <c r="X231" s="5">
        <v>234</v>
      </c>
    </row>
    <row r="232" spans="20:24" x14ac:dyDescent="0.3">
      <c r="T232" t="s">
        <v>5</v>
      </c>
      <c r="U232" t="s">
        <v>34</v>
      </c>
      <c r="V232" t="s">
        <v>33</v>
      </c>
      <c r="W232" s="4">
        <v>1652</v>
      </c>
      <c r="X232" s="5">
        <v>93</v>
      </c>
    </row>
    <row r="233" spans="20:24" x14ac:dyDescent="0.3">
      <c r="T233" t="s">
        <v>3</v>
      </c>
      <c r="U233" t="s">
        <v>39</v>
      </c>
      <c r="V233" t="s">
        <v>28</v>
      </c>
      <c r="W233" s="4">
        <v>1652</v>
      </c>
      <c r="X233" s="5">
        <v>102</v>
      </c>
    </row>
    <row r="234" spans="20:24" x14ac:dyDescent="0.3">
      <c r="T234" t="s">
        <v>6</v>
      </c>
      <c r="U234" t="s">
        <v>39</v>
      </c>
      <c r="V234" t="s">
        <v>30</v>
      </c>
      <c r="W234" s="4">
        <v>1638</v>
      </c>
      <c r="X234" s="5">
        <v>63</v>
      </c>
    </row>
    <row r="235" spans="20:24" x14ac:dyDescent="0.3">
      <c r="T235" t="s">
        <v>40</v>
      </c>
      <c r="U235" t="s">
        <v>35</v>
      </c>
      <c r="V235" t="s">
        <v>24</v>
      </c>
      <c r="W235" s="4">
        <v>1638</v>
      </c>
      <c r="X235" s="5">
        <v>48</v>
      </c>
    </row>
    <row r="236" spans="20:24" x14ac:dyDescent="0.3">
      <c r="T236" t="s">
        <v>40</v>
      </c>
      <c r="U236" t="s">
        <v>37</v>
      </c>
      <c r="V236" t="s">
        <v>30</v>
      </c>
      <c r="W236" s="4">
        <v>1624</v>
      </c>
      <c r="X236" s="5">
        <v>114</v>
      </c>
    </row>
    <row r="237" spans="20:24" x14ac:dyDescent="0.3">
      <c r="T237" t="s">
        <v>40</v>
      </c>
      <c r="U237" t="s">
        <v>35</v>
      </c>
      <c r="V237" t="s">
        <v>29</v>
      </c>
      <c r="W237" s="4">
        <v>1617</v>
      </c>
      <c r="X237" s="5">
        <v>126</v>
      </c>
    </row>
    <row r="238" spans="20:24" x14ac:dyDescent="0.3">
      <c r="T238" t="s">
        <v>2</v>
      </c>
      <c r="U238" t="s">
        <v>35</v>
      </c>
      <c r="V238" t="s">
        <v>17</v>
      </c>
      <c r="W238" s="4">
        <v>1589</v>
      </c>
      <c r="X238" s="5">
        <v>303</v>
      </c>
    </row>
    <row r="239" spans="20:24" x14ac:dyDescent="0.3">
      <c r="T239" t="s">
        <v>7</v>
      </c>
      <c r="U239" t="s">
        <v>34</v>
      </c>
      <c r="V239" t="s">
        <v>25</v>
      </c>
      <c r="W239" s="4">
        <v>1568</v>
      </c>
      <c r="X239" s="5">
        <v>96</v>
      </c>
    </row>
    <row r="240" spans="20:24" x14ac:dyDescent="0.3">
      <c r="T240" t="s">
        <v>2</v>
      </c>
      <c r="U240" t="s">
        <v>39</v>
      </c>
      <c r="V240" t="s">
        <v>22</v>
      </c>
      <c r="W240" s="4">
        <v>1568</v>
      </c>
      <c r="X240" s="5">
        <v>141</v>
      </c>
    </row>
    <row r="241" spans="20:24" x14ac:dyDescent="0.3">
      <c r="T241" t="s">
        <v>8</v>
      </c>
      <c r="U241" t="s">
        <v>39</v>
      </c>
      <c r="V241" t="s">
        <v>26</v>
      </c>
      <c r="W241" s="4">
        <v>1561</v>
      </c>
      <c r="X241" s="5">
        <v>27</v>
      </c>
    </row>
    <row r="242" spans="20:24" x14ac:dyDescent="0.3">
      <c r="T242" t="s">
        <v>41</v>
      </c>
      <c r="U242" t="s">
        <v>37</v>
      </c>
      <c r="V242" t="s">
        <v>30</v>
      </c>
      <c r="W242" s="4">
        <v>1526</v>
      </c>
      <c r="X242" s="5">
        <v>240</v>
      </c>
    </row>
    <row r="243" spans="20:24" x14ac:dyDescent="0.3">
      <c r="T243" t="s">
        <v>5</v>
      </c>
      <c r="U243" t="s">
        <v>36</v>
      </c>
      <c r="V243" t="s">
        <v>30</v>
      </c>
      <c r="W243" s="4">
        <v>1526</v>
      </c>
      <c r="X243" s="5">
        <v>105</v>
      </c>
    </row>
    <row r="244" spans="20:24" x14ac:dyDescent="0.3">
      <c r="T244" t="s">
        <v>6</v>
      </c>
      <c r="U244" t="s">
        <v>37</v>
      </c>
      <c r="V244" t="s">
        <v>18</v>
      </c>
      <c r="W244" s="4">
        <v>1505</v>
      </c>
      <c r="X244" s="5">
        <v>102</v>
      </c>
    </row>
    <row r="245" spans="20:24" x14ac:dyDescent="0.3">
      <c r="T245" t="s">
        <v>41</v>
      </c>
      <c r="U245" t="s">
        <v>34</v>
      </c>
      <c r="V245" t="s">
        <v>17</v>
      </c>
      <c r="W245" s="4">
        <v>1463</v>
      </c>
      <c r="X245" s="5">
        <v>39</v>
      </c>
    </row>
    <row r="246" spans="20:24" x14ac:dyDescent="0.3">
      <c r="T246" t="s">
        <v>6</v>
      </c>
      <c r="U246" t="s">
        <v>34</v>
      </c>
      <c r="V246" t="s">
        <v>15</v>
      </c>
      <c r="W246" s="4">
        <v>1442</v>
      </c>
      <c r="X246" s="5">
        <v>15</v>
      </c>
    </row>
    <row r="247" spans="20:24" x14ac:dyDescent="0.3">
      <c r="T247" t="s">
        <v>10</v>
      </c>
      <c r="U247" t="s">
        <v>34</v>
      </c>
      <c r="V247" t="s">
        <v>25</v>
      </c>
      <c r="W247" s="4">
        <v>1428</v>
      </c>
      <c r="X247" s="5">
        <v>93</v>
      </c>
    </row>
    <row r="248" spans="20:24" x14ac:dyDescent="0.3">
      <c r="T248" t="s">
        <v>10</v>
      </c>
      <c r="U248" t="s">
        <v>36</v>
      </c>
      <c r="V248" t="s">
        <v>27</v>
      </c>
      <c r="W248" s="4">
        <v>1407</v>
      </c>
      <c r="X248" s="5">
        <v>72</v>
      </c>
    </row>
    <row r="249" spans="20:24" x14ac:dyDescent="0.3">
      <c r="T249" t="s">
        <v>6</v>
      </c>
      <c r="U249" t="s">
        <v>36</v>
      </c>
      <c r="V249" t="s">
        <v>29</v>
      </c>
      <c r="W249" s="4">
        <v>1400</v>
      </c>
      <c r="X249" s="5">
        <v>135</v>
      </c>
    </row>
    <row r="250" spans="20:24" x14ac:dyDescent="0.3">
      <c r="T250" t="s">
        <v>6</v>
      </c>
      <c r="U250" t="s">
        <v>35</v>
      </c>
      <c r="V250" t="s">
        <v>4</v>
      </c>
      <c r="W250" s="4">
        <v>1302</v>
      </c>
      <c r="X250" s="5">
        <v>402</v>
      </c>
    </row>
    <row r="251" spans="20:24" x14ac:dyDescent="0.3">
      <c r="T251" t="s">
        <v>7</v>
      </c>
      <c r="U251" t="s">
        <v>38</v>
      </c>
      <c r="V251" t="s">
        <v>14</v>
      </c>
      <c r="W251" s="4">
        <v>1281</v>
      </c>
      <c r="X251" s="5">
        <v>75</v>
      </c>
    </row>
    <row r="252" spans="20:24" x14ac:dyDescent="0.3">
      <c r="T252" t="s">
        <v>3</v>
      </c>
      <c r="U252" t="s">
        <v>36</v>
      </c>
      <c r="V252" t="s">
        <v>19</v>
      </c>
      <c r="W252" s="4">
        <v>1281</v>
      </c>
      <c r="X252" s="5">
        <v>18</v>
      </c>
    </row>
    <row r="253" spans="20:24" x14ac:dyDescent="0.3">
      <c r="T253" t="s">
        <v>41</v>
      </c>
      <c r="U253" t="s">
        <v>34</v>
      </c>
      <c r="V253" t="s">
        <v>16</v>
      </c>
      <c r="W253" s="4">
        <v>1274</v>
      </c>
      <c r="X253" s="5">
        <v>225</v>
      </c>
    </row>
    <row r="254" spans="20:24" x14ac:dyDescent="0.3">
      <c r="T254" t="s">
        <v>6</v>
      </c>
      <c r="U254" t="s">
        <v>38</v>
      </c>
      <c r="V254" t="s">
        <v>27</v>
      </c>
      <c r="W254" s="4">
        <v>1134</v>
      </c>
      <c r="X254" s="5">
        <v>282</v>
      </c>
    </row>
    <row r="255" spans="20:24" x14ac:dyDescent="0.3">
      <c r="T255" t="s">
        <v>9</v>
      </c>
      <c r="U255" t="s">
        <v>37</v>
      </c>
      <c r="V255" t="s">
        <v>29</v>
      </c>
      <c r="W255" s="4">
        <v>1085</v>
      </c>
      <c r="X255" s="5">
        <v>273</v>
      </c>
    </row>
    <row r="256" spans="20:24" x14ac:dyDescent="0.3">
      <c r="T256" t="s">
        <v>6</v>
      </c>
      <c r="U256" t="s">
        <v>35</v>
      </c>
      <c r="V256" t="s">
        <v>20</v>
      </c>
      <c r="W256" s="4">
        <v>1071</v>
      </c>
      <c r="X256" s="5">
        <v>270</v>
      </c>
    </row>
    <row r="257" spans="20:24" x14ac:dyDescent="0.3">
      <c r="T257" t="s">
        <v>2</v>
      </c>
      <c r="U257" t="s">
        <v>37</v>
      </c>
      <c r="V257" t="s">
        <v>14</v>
      </c>
      <c r="W257" s="4">
        <v>1057</v>
      </c>
      <c r="X257" s="5">
        <v>54</v>
      </c>
    </row>
    <row r="258" spans="20:24" x14ac:dyDescent="0.3">
      <c r="T258" t="s">
        <v>3</v>
      </c>
      <c r="U258" t="s">
        <v>36</v>
      </c>
      <c r="V258" t="s">
        <v>28</v>
      </c>
      <c r="W258" s="4">
        <v>973</v>
      </c>
      <c r="X258" s="5">
        <v>162</v>
      </c>
    </row>
    <row r="259" spans="20:24" x14ac:dyDescent="0.3">
      <c r="T259" t="s">
        <v>7</v>
      </c>
      <c r="U259" t="s">
        <v>39</v>
      </c>
      <c r="V259" t="s">
        <v>27</v>
      </c>
      <c r="W259" s="4">
        <v>966</v>
      </c>
      <c r="X259" s="5">
        <v>198</v>
      </c>
    </row>
    <row r="260" spans="20:24" x14ac:dyDescent="0.3">
      <c r="T260" t="s">
        <v>9</v>
      </c>
      <c r="U260" t="s">
        <v>35</v>
      </c>
      <c r="V260" t="s">
        <v>4</v>
      </c>
      <c r="W260" s="4">
        <v>959</v>
      </c>
      <c r="X260" s="5">
        <v>147</v>
      </c>
    </row>
    <row r="261" spans="20:24" x14ac:dyDescent="0.3">
      <c r="T261" t="s">
        <v>6</v>
      </c>
      <c r="U261" t="s">
        <v>38</v>
      </c>
      <c r="V261" t="s">
        <v>33</v>
      </c>
      <c r="W261" s="4">
        <v>959</v>
      </c>
      <c r="X261" s="5">
        <v>135</v>
      </c>
    </row>
    <row r="262" spans="20:24" x14ac:dyDescent="0.3">
      <c r="T262" t="s">
        <v>10</v>
      </c>
      <c r="U262" t="s">
        <v>36</v>
      </c>
      <c r="V262" t="s">
        <v>13</v>
      </c>
      <c r="W262" s="4">
        <v>945</v>
      </c>
      <c r="X262" s="5">
        <v>75</v>
      </c>
    </row>
    <row r="263" spans="20:24" x14ac:dyDescent="0.3">
      <c r="T263" t="s">
        <v>6</v>
      </c>
      <c r="U263" t="s">
        <v>38</v>
      </c>
      <c r="V263" t="s">
        <v>16</v>
      </c>
      <c r="W263" s="4">
        <v>938</v>
      </c>
      <c r="X263" s="5">
        <v>6</v>
      </c>
    </row>
    <row r="264" spans="20:24" x14ac:dyDescent="0.3">
      <c r="T264" t="s">
        <v>9</v>
      </c>
      <c r="U264" t="s">
        <v>34</v>
      </c>
      <c r="V264" t="s">
        <v>16</v>
      </c>
      <c r="W264" s="4">
        <v>938</v>
      </c>
      <c r="X264" s="5">
        <v>189</v>
      </c>
    </row>
    <row r="265" spans="20:24" x14ac:dyDescent="0.3">
      <c r="T265" t="s">
        <v>3</v>
      </c>
      <c r="U265" t="s">
        <v>37</v>
      </c>
      <c r="V265" t="s">
        <v>4</v>
      </c>
      <c r="W265" s="4">
        <v>938</v>
      </c>
      <c r="X265" s="5">
        <v>366</v>
      </c>
    </row>
    <row r="266" spans="20:24" x14ac:dyDescent="0.3">
      <c r="T266" t="s">
        <v>5</v>
      </c>
      <c r="U266" t="s">
        <v>34</v>
      </c>
      <c r="V266" t="s">
        <v>19</v>
      </c>
      <c r="W266" s="4">
        <v>861</v>
      </c>
      <c r="X266" s="5">
        <v>195</v>
      </c>
    </row>
    <row r="267" spans="20:24" x14ac:dyDescent="0.3">
      <c r="T267" t="s">
        <v>41</v>
      </c>
      <c r="U267" t="s">
        <v>36</v>
      </c>
      <c r="V267" t="s">
        <v>28</v>
      </c>
      <c r="W267" s="4">
        <v>854</v>
      </c>
      <c r="X267" s="5">
        <v>309</v>
      </c>
    </row>
    <row r="268" spans="20:24" x14ac:dyDescent="0.3">
      <c r="T268" t="s">
        <v>41</v>
      </c>
      <c r="U268" t="s">
        <v>35</v>
      </c>
      <c r="V268" t="s">
        <v>27</v>
      </c>
      <c r="W268" s="4">
        <v>847</v>
      </c>
      <c r="X268" s="5">
        <v>129</v>
      </c>
    </row>
    <row r="269" spans="20:24" x14ac:dyDescent="0.3">
      <c r="T269" t="s">
        <v>8</v>
      </c>
      <c r="U269" t="s">
        <v>38</v>
      </c>
      <c r="V269" t="s">
        <v>13</v>
      </c>
      <c r="W269" s="4">
        <v>819</v>
      </c>
      <c r="X269" s="5">
        <v>510</v>
      </c>
    </row>
    <row r="270" spans="20:24" x14ac:dyDescent="0.3">
      <c r="T270" t="s">
        <v>3</v>
      </c>
      <c r="U270" t="s">
        <v>35</v>
      </c>
      <c r="V270" t="s">
        <v>33</v>
      </c>
      <c r="W270" s="4">
        <v>819</v>
      </c>
      <c r="X270" s="5">
        <v>306</v>
      </c>
    </row>
    <row r="271" spans="20:24" x14ac:dyDescent="0.3">
      <c r="T271" t="s">
        <v>2</v>
      </c>
      <c r="U271" t="s">
        <v>36</v>
      </c>
      <c r="V271" t="s">
        <v>27</v>
      </c>
      <c r="W271" s="4">
        <v>798</v>
      </c>
      <c r="X271" s="5">
        <v>519</v>
      </c>
    </row>
    <row r="272" spans="20:24" x14ac:dyDescent="0.3">
      <c r="T272" t="s">
        <v>41</v>
      </c>
      <c r="U272" t="s">
        <v>37</v>
      </c>
      <c r="V272" t="s">
        <v>15</v>
      </c>
      <c r="W272" s="4">
        <v>714</v>
      </c>
      <c r="X272" s="5">
        <v>231</v>
      </c>
    </row>
    <row r="273" spans="20:24" x14ac:dyDescent="0.3">
      <c r="T273" t="s">
        <v>9</v>
      </c>
      <c r="U273" t="s">
        <v>34</v>
      </c>
      <c r="V273" t="s">
        <v>17</v>
      </c>
      <c r="W273" s="4">
        <v>707</v>
      </c>
      <c r="X273" s="5">
        <v>174</v>
      </c>
    </row>
    <row r="274" spans="20:24" x14ac:dyDescent="0.3">
      <c r="T274" t="s">
        <v>10</v>
      </c>
      <c r="U274" t="s">
        <v>34</v>
      </c>
      <c r="V274" t="s">
        <v>17</v>
      </c>
      <c r="W274" s="4">
        <v>700</v>
      </c>
      <c r="X274" s="5">
        <v>87</v>
      </c>
    </row>
    <row r="275" spans="20:24" x14ac:dyDescent="0.3">
      <c r="T275" t="s">
        <v>2</v>
      </c>
      <c r="U275" t="s">
        <v>39</v>
      </c>
      <c r="V275" t="s">
        <v>23</v>
      </c>
      <c r="W275" s="4">
        <v>630</v>
      </c>
      <c r="X275" s="5">
        <v>36</v>
      </c>
    </row>
    <row r="276" spans="20:24" x14ac:dyDescent="0.3">
      <c r="T276" t="s">
        <v>40</v>
      </c>
      <c r="U276" t="s">
        <v>38</v>
      </c>
      <c r="V276" t="s">
        <v>24</v>
      </c>
      <c r="W276" s="4">
        <v>623</v>
      </c>
      <c r="X276" s="5">
        <v>51</v>
      </c>
    </row>
    <row r="277" spans="20:24" x14ac:dyDescent="0.3">
      <c r="T277" t="s">
        <v>40</v>
      </c>
      <c r="U277" t="s">
        <v>38</v>
      </c>
      <c r="V277" t="s">
        <v>26</v>
      </c>
      <c r="W277" s="4">
        <v>609</v>
      </c>
      <c r="X277" s="5">
        <v>87</v>
      </c>
    </row>
    <row r="278" spans="20:24" x14ac:dyDescent="0.3">
      <c r="T278" t="s">
        <v>41</v>
      </c>
      <c r="U278" t="s">
        <v>35</v>
      </c>
      <c r="V278" t="s">
        <v>19</v>
      </c>
      <c r="W278" s="4">
        <v>609</v>
      </c>
      <c r="X278" s="5">
        <v>99</v>
      </c>
    </row>
    <row r="279" spans="20:24" x14ac:dyDescent="0.3">
      <c r="T279" t="s">
        <v>10</v>
      </c>
      <c r="U279" t="s">
        <v>35</v>
      </c>
      <c r="V279" t="s">
        <v>21</v>
      </c>
      <c r="W279" s="4">
        <v>567</v>
      </c>
      <c r="X279" s="5">
        <v>228</v>
      </c>
    </row>
    <row r="280" spans="20:24" x14ac:dyDescent="0.3">
      <c r="T280" t="s">
        <v>6</v>
      </c>
      <c r="U280" t="s">
        <v>37</v>
      </c>
      <c r="V280" t="s">
        <v>30</v>
      </c>
      <c r="W280" s="4">
        <v>560</v>
      </c>
      <c r="X280" s="5">
        <v>81</v>
      </c>
    </row>
    <row r="281" spans="20:24" x14ac:dyDescent="0.3">
      <c r="T281" t="s">
        <v>2</v>
      </c>
      <c r="U281" t="s">
        <v>35</v>
      </c>
      <c r="V281" t="s">
        <v>19</v>
      </c>
      <c r="W281" s="4">
        <v>553</v>
      </c>
      <c r="X281" s="5">
        <v>15</v>
      </c>
    </row>
    <row r="282" spans="20:24" x14ac:dyDescent="0.3">
      <c r="T282" t="s">
        <v>6</v>
      </c>
      <c r="U282" t="s">
        <v>34</v>
      </c>
      <c r="V282" t="s">
        <v>4</v>
      </c>
      <c r="W282" s="4">
        <v>525</v>
      </c>
      <c r="X282" s="5">
        <v>48</v>
      </c>
    </row>
    <row r="283" spans="20:24" x14ac:dyDescent="0.3">
      <c r="T283" t="s">
        <v>5</v>
      </c>
      <c r="U283" t="s">
        <v>37</v>
      </c>
      <c r="V283" t="s">
        <v>22</v>
      </c>
      <c r="W283" s="4">
        <v>518</v>
      </c>
      <c r="X283" s="5">
        <v>75</v>
      </c>
    </row>
    <row r="284" spans="20:24" x14ac:dyDescent="0.3">
      <c r="T284" t="s">
        <v>6</v>
      </c>
      <c r="U284" t="s">
        <v>36</v>
      </c>
      <c r="V284" t="s">
        <v>21</v>
      </c>
      <c r="W284" s="4">
        <v>497</v>
      </c>
      <c r="X284" s="5">
        <v>63</v>
      </c>
    </row>
    <row r="285" spans="20:24" x14ac:dyDescent="0.3">
      <c r="T285" t="s">
        <v>5</v>
      </c>
      <c r="U285" t="s">
        <v>35</v>
      </c>
      <c r="V285" t="s">
        <v>22</v>
      </c>
      <c r="W285" s="4">
        <v>490</v>
      </c>
      <c r="X285" s="5">
        <v>84</v>
      </c>
    </row>
    <row r="286" spans="20:24" x14ac:dyDescent="0.3">
      <c r="T286" t="s">
        <v>6</v>
      </c>
      <c r="U286" t="s">
        <v>38</v>
      </c>
      <c r="V286" t="s">
        <v>25</v>
      </c>
      <c r="W286" s="4">
        <v>469</v>
      </c>
      <c r="X286" s="5">
        <v>75</v>
      </c>
    </row>
    <row r="287" spans="20:24" x14ac:dyDescent="0.3">
      <c r="T287" t="s">
        <v>8</v>
      </c>
      <c r="U287" t="s">
        <v>37</v>
      </c>
      <c r="V287" t="s">
        <v>21</v>
      </c>
      <c r="W287" s="4">
        <v>434</v>
      </c>
      <c r="X287" s="5">
        <v>87</v>
      </c>
    </row>
    <row r="288" spans="20:24" x14ac:dyDescent="0.3">
      <c r="T288" t="s">
        <v>5</v>
      </c>
      <c r="U288" t="s">
        <v>39</v>
      </c>
      <c r="V288" t="s">
        <v>18</v>
      </c>
      <c r="W288" s="4">
        <v>385</v>
      </c>
      <c r="X288" s="5">
        <v>249</v>
      </c>
    </row>
    <row r="289" spans="20:24" x14ac:dyDescent="0.3">
      <c r="T289" t="s">
        <v>8</v>
      </c>
      <c r="U289" t="s">
        <v>35</v>
      </c>
      <c r="V289" t="s">
        <v>33</v>
      </c>
      <c r="W289" s="4">
        <v>357</v>
      </c>
      <c r="X289" s="5">
        <v>126</v>
      </c>
    </row>
    <row r="290" spans="20:24" x14ac:dyDescent="0.3">
      <c r="T290" t="s">
        <v>41</v>
      </c>
      <c r="U290" t="s">
        <v>34</v>
      </c>
      <c r="V290" t="s">
        <v>22</v>
      </c>
      <c r="W290" s="4">
        <v>336</v>
      </c>
      <c r="X290" s="5">
        <v>144</v>
      </c>
    </row>
    <row r="291" spans="20:24" x14ac:dyDescent="0.3">
      <c r="T291" t="s">
        <v>7</v>
      </c>
      <c r="U291" t="s">
        <v>36</v>
      </c>
      <c r="V291" t="s">
        <v>32</v>
      </c>
      <c r="W291" s="4">
        <v>280</v>
      </c>
      <c r="X291" s="5">
        <v>87</v>
      </c>
    </row>
    <row r="292" spans="20:24" x14ac:dyDescent="0.3">
      <c r="T292" t="s">
        <v>9</v>
      </c>
      <c r="U292" t="s">
        <v>37</v>
      </c>
      <c r="V292" t="s">
        <v>4</v>
      </c>
      <c r="W292" s="4">
        <v>259</v>
      </c>
      <c r="X292" s="5">
        <v>207</v>
      </c>
    </row>
    <row r="293" spans="20:24" x14ac:dyDescent="0.3">
      <c r="T293" t="s">
        <v>2</v>
      </c>
      <c r="U293" t="s">
        <v>34</v>
      </c>
      <c r="V293" t="s">
        <v>13</v>
      </c>
      <c r="W293" s="4">
        <v>252</v>
      </c>
      <c r="X293" s="5">
        <v>54</v>
      </c>
    </row>
    <row r="294" spans="20:24" x14ac:dyDescent="0.3">
      <c r="T294" t="s">
        <v>10</v>
      </c>
      <c r="U294" t="s">
        <v>37</v>
      </c>
      <c r="V294" t="s">
        <v>21</v>
      </c>
      <c r="W294" s="4">
        <v>245</v>
      </c>
      <c r="X294" s="5">
        <v>288</v>
      </c>
    </row>
    <row r="295" spans="20:24" x14ac:dyDescent="0.3">
      <c r="T295" t="s">
        <v>2</v>
      </c>
      <c r="U295" t="s">
        <v>37</v>
      </c>
      <c r="V295" t="s">
        <v>19</v>
      </c>
      <c r="W295" s="4">
        <v>238</v>
      </c>
      <c r="X295" s="5">
        <v>18</v>
      </c>
    </row>
    <row r="296" spans="20:24" x14ac:dyDescent="0.3">
      <c r="T296" t="s">
        <v>40</v>
      </c>
      <c r="U296" t="s">
        <v>36</v>
      </c>
      <c r="V296" t="s">
        <v>4</v>
      </c>
      <c r="W296" s="4">
        <v>217</v>
      </c>
      <c r="X296" s="5">
        <v>36</v>
      </c>
    </row>
    <row r="297" spans="20:24" x14ac:dyDescent="0.3">
      <c r="T297" t="s">
        <v>2</v>
      </c>
      <c r="U297" t="s">
        <v>36</v>
      </c>
      <c r="V297" t="s">
        <v>17</v>
      </c>
      <c r="W297" s="4">
        <v>189</v>
      </c>
      <c r="X297" s="5">
        <v>48</v>
      </c>
    </row>
    <row r="298" spans="20:24" x14ac:dyDescent="0.3">
      <c r="T298" t="s">
        <v>5</v>
      </c>
      <c r="U298" t="s">
        <v>37</v>
      </c>
      <c r="V298" t="s">
        <v>31</v>
      </c>
      <c r="W298" s="4">
        <v>182</v>
      </c>
      <c r="X298" s="5">
        <v>48</v>
      </c>
    </row>
    <row r="299" spans="20:24" x14ac:dyDescent="0.3">
      <c r="T299" t="s">
        <v>8</v>
      </c>
      <c r="U299" t="s">
        <v>38</v>
      </c>
      <c r="V299" t="s">
        <v>22</v>
      </c>
      <c r="W299" s="4">
        <v>168</v>
      </c>
      <c r="X299" s="5">
        <v>84</v>
      </c>
    </row>
    <row r="300" spans="20:24" x14ac:dyDescent="0.3">
      <c r="T300" t="s">
        <v>41</v>
      </c>
      <c r="U300" t="s">
        <v>38</v>
      </c>
      <c r="V300" t="s">
        <v>25</v>
      </c>
      <c r="W300" s="4">
        <v>154</v>
      </c>
      <c r="X300" s="5">
        <v>21</v>
      </c>
    </row>
    <row r="301" spans="20:24" x14ac:dyDescent="0.3">
      <c r="T301" t="s">
        <v>9</v>
      </c>
      <c r="U301" t="s">
        <v>35</v>
      </c>
      <c r="V301" t="s">
        <v>26</v>
      </c>
      <c r="W301" s="4">
        <v>98</v>
      </c>
      <c r="X301" s="5">
        <v>159</v>
      </c>
    </row>
    <row r="302" spans="20:24" x14ac:dyDescent="0.3">
      <c r="T302" t="s">
        <v>41</v>
      </c>
      <c r="U302" t="s">
        <v>36</v>
      </c>
      <c r="V302" t="s">
        <v>26</v>
      </c>
      <c r="W302" s="4">
        <v>98</v>
      </c>
      <c r="X302" s="5">
        <v>204</v>
      </c>
    </row>
    <row r="303" spans="20:24" x14ac:dyDescent="0.3">
      <c r="T303" t="s">
        <v>10</v>
      </c>
      <c r="U303" t="s">
        <v>38</v>
      </c>
      <c r="V303" t="s">
        <v>13</v>
      </c>
      <c r="W303" s="4">
        <v>63</v>
      </c>
      <c r="X303" s="5">
        <v>123</v>
      </c>
    </row>
    <row r="304" spans="20:24" x14ac:dyDescent="0.3">
      <c r="T304" t="s">
        <v>2</v>
      </c>
      <c r="U304" t="s">
        <v>38</v>
      </c>
      <c r="V304" t="s">
        <v>13</v>
      </c>
      <c r="W304" s="4">
        <v>56</v>
      </c>
      <c r="X304" s="5">
        <v>51</v>
      </c>
    </row>
    <row r="305" spans="20:24" x14ac:dyDescent="0.3">
      <c r="T305" t="s">
        <v>8</v>
      </c>
      <c r="U305" t="s">
        <v>37</v>
      </c>
      <c r="V305" t="s">
        <v>30</v>
      </c>
      <c r="W305" s="4">
        <v>42</v>
      </c>
      <c r="X305" s="5">
        <v>150</v>
      </c>
    </row>
    <row r="306" spans="20:24" x14ac:dyDescent="0.3">
      <c r="T306" t="s">
        <v>3</v>
      </c>
      <c r="U306" t="s">
        <v>39</v>
      </c>
      <c r="V306" t="s">
        <v>16</v>
      </c>
      <c r="W306" s="4">
        <v>21</v>
      </c>
      <c r="X306" s="5">
        <v>168</v>
      </c>
    </row>
    <row r="307" spans="20:24" x14ac:dyDescent="0.3">
      <c r="T307" t="s">
        <v>40</v>
      </c>
      <c r="U307" t="s">
        <v>39</v>
      </c>
      <c r="V307" t="s">
        <v>29</v>
      </c>
      <c r="W307" s="4">
        <v>0</v>
      </c>
      <c r="X307" s="5">
        <v>135</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0547D-5134-4B01-B718-FF60C5CA556A}">
  <dimension ref="C2:P307"/>
  <sheetViews>
    <sheetView workbookViewId="0">
      <selection activeCell="M8" sqref="M8"/>
    </sheetView>
  </sheetViews>
  <sheetFormatPr defaultRowHeight="14.4" x14ac:dyDescent="0.3"/>
  <cols>
    <col min="2" max="2" width="9.33203125" customWidth="1"/>
    <col min="3" max="3" width="16.44140625" bestFit="1" customWidth="1"/>
    <col min="4" max="4" width="14.88671875" style="13" bestFit="1" customWidth="1"/>
    <col min="5" max="5" width="8.44140625" style="13" customWidth="1"/>
    <col min="6" max="6" width="8.88671875" customWidth="1"/>
    <col min="7" max="7" width="16.33203125" bestFit="1" customWidth="1"/>
    <col min="8" max="8" width="14.88671875" bestFit="1" customWidth="1"/>
    <col min="10" max="10" width="8.88671875" customWidth="1"/>
    <col min="11" max="11" width="11.109375" bestFit="1" customWidth="1"/>
    <col min="12" max="12" width="16" bestFit="1" customWidth="1"/>
    <col min="13" max="13" width="13" customWidth="1"/>
    <col min="14" max="14" width="0.33203125" customWidth="1"/>
    <col min="15" max="16" width="12.109375" customWidth="1"/>
  </cols>
  <sheetData>
    <row r="2" spans="3:16" ht="18.75" customHeight="1" x14ac:dyDescent="0.3"/>
    <row r="3" spans="3:16" ht="18.75" customHeight="1" x14ac:dyDescent="0.3"/>
    <row r="4" spans="3:16" ht="35.25" customHeight="1" x14ac:dyDescent="0.3"/>
    <row r="7" spans="3:16" x14ac:dyDescent="0.3">
      <c r="C7" s="20" t="s">
        <v>68</v>
      </c>
      <c r="D7" t="s">
        <v>69</v>
      </c>
      <c r="E7"/>
      <c r="G7" s="20" t="s">
        <v>68</v>
      </c>
      <c r="H7" t="s">
        <v>69</v>
      </c>
      <c r="K7" t="s">
        <v>56</v>
      </c>
      <c r="L7" s="6" t="s">
        <v>11</v>
      </c>
      <c r="M7" s="6" t="s">
        <v>12</v>
      </c>
      <c r="N7" s="6" t="s">
        <v>74</v>
      </c>
      <c r="O7" s="10" t="s">
        <v>1</v>
      </c>
      <c r="P7" s="10" t="s">
        <v>49</v>
      </c>
    </row>
    <row r="8" spans="3:16" x14ac:dyDescent="0.3">
      <c r="C8" s="21" t="s">
        <v>38</v>
      </c>
      <c r="D8" s="4"/>
      <c r="E8"/>
      <c r="F8" s="23"/>
      <c r="G8" s="21" t="s">
        <v>38</v>
      </c>
      <c r="H8" s="4"/>
      <c r="L8" t="s">
        <v>5</v>
      </c>
      <c r="M8" t="s">
        <v>36</v>
      </c>
      <c r="O8" s="4">
        <v>16184</v>
      </c>
      <c r="P8" s="5">
        <v>39</v>
      </c>
    </row>
    <row r="9" spans="3:16" x14ac:dyDescent="0.3">
      <c r="C9" s="26" t="s">
        <v>5</v>
      </c>
      <c r="D9" s="4">
        <v>25221</v>
      </c>
      <c r="E9"/>
      <c r="F9" s="19"/>
      <c r="G9" s="26" t="s">
        <v>41</v>
      </c>
      <c r="H9" s="4">
        <v>6069</v>
      </c>
      <c r="L9" t="s">
        <v>5</v>
      </c>
      <c r="M9" t="s">
        <v>34</v>
      </c>
      <c r="O9" s="4">
        <v>15610</v>
      </c>
      <c r="P9" s="5">
        <v>339</v>
      </c>
    </row>
    <row r="10" spans="3:16" x14ac:dyDescent="0.3">
      <c r="C10" s="21" t="s">
        <v>36</v>
      </c>
      <c r="D10" s="4"/>
      <c r="E10"/>
      <c r="F10" s="19"/>
      <c r="G10" s="21" t="s">
        <v>36</v>
      </c>
      <c r="H10" s="4"/>
      <c r="L10" t="s">
        <v>9</v>
      </c>
      <c r="M10" t="s">
        <v>34</v>
      </c>
      <c r="O10" s="4">
        <v>14329</v>
      </c>
      <c r="P10" s="5">
        <v>150</v>
      </c>
    </row>
    <row r="11" spans="3:16" x14ac:dyDescent="0.3">
      <c r="C11" s="26" t="s">
        <v>5</v>
      </c>
      <c r="D11" s="4">
        <v>39620</v>
      </c>
      <c r="E11"/>
      <c r="F11" s="19"/>
      <c r="G11" s="26" t="s">
        <v>8</v>
      </c>
      <c r="H11" s="4">
        <v>5019</v>
      </c>
      <c r="L11" t="s">
        <v>5</v>
      </c>
      <c r="M11" t="s">
        <v>35</v>
      </c>
      <c r="O11" s="4">
        <v>13391</v>
      </c>
      <c r="P11" s="5">
        <v>201</v>
      </c>
    </row>
    <row r="12" spans="3:16" x14ac:dyDescent="0.3">
      <c r="C12" s="21" t="s">
        <v>34</v>
      </c>
      <c r="D12" s="4"/>
      <c r="E12"/>
      <c r="F12" s="19"/>
      <c r="G12" s="21" t="s">
        <v>34</v>
      </c>
      <c r="H12" s="4"/>
      <c r="L12" t="s">
        <v>10</v>
      </c>
      <c r="M12" t="s">
        <v>39</v>
      </c>
      <c r="O12" s="4">
        <v>12950</v>
      </c>
      <c r="P12" s="5">
        <v>30</v>
      </c>
    </row>
    <row r="13" spans="3:16" x14ac:dyDescent="0.3">
      <c r="C13" s="26" t="s">
        <v>5</v>
      </c>
      <c r="D13" s="4">
        <v>41559</v>
      </c>
      <c r="E13"/>
      <c r="F13" s="19"/>
      <c r="G13" s="26" t="s">
        <v>8</v>
      </c>
      <c r="H13" s="4">
        <v>5516</v>
      </c>
      <c r="L13" t="s">
        <v>40</v>
      </c>
      <c r="M13" t="s">
        <v>35</v>
      </c>
      <c r="O13" s="4">
        <v>12348</v>
      </c>
      <c r="P13" s="5">
        <v>234</v>
      </c>
    </row>
    <row r="14" spans="3:16" x14ac:dyDescent="0.3">
      <c r="C14" s="21" t="s">
        <v>37</v>
      </c>
      <c r="D14" s="4"/>
      <c r="E14"/>
      <c r="F14" s="19"/>
      <c r="G14" s="21" t="s">
        <v>37</v>
      </c>
      <c r="H14" s="4"/>
      <c r="L14" t="s">
        <v>2</v>
      </c>
      <c r="M14" t="s">
        <v>37</v>
      </c>
      <c r="O14" s="4">
        <v>11571</v>
      </c>
      <c r="P14" s="5">
        <v>138</v>
      </c>
    </row>
    <row r="15" spans="3:16" x14ac:dyDescent="0.3">
      <c r="C15" s="26" t="s">
        <v>7</v>
      </c>
      <c r="D15" s="4">
        <v>43568</v>
      </c>
      <c r="E15"/>
      <c r="G15" s="26" t="s">
        <v>10</v>
      </c>
      <c r="H15" s="4">
        <v>7987</v>
      </c>
      <c r="L15" t="s">
        <v>9</v>
      </c>
      <c r="M15" t="s">
        <v>36</v>
      </c>
      <c r="O15" s="4">
        <v>11522</v>
      </c>
      <c r="P15" s="5">
        <v>204</v>
      </c>
    </row>
    <row r="16" spans="3:16" x14ac:dyDescent="0.3">
      <c r="C16" s="21" t="s">
        <v>39</v>
      </c>
      <c r="D16" s="4"/>
      <c r="E16"/>
      <c r="G16" s="21" t="s">
        <v>39</v>
      </c>
      <c r="H16" s="4"/>
      <c r="L16" t="s">
        <v>2</v>
      </c>
      <c r="M16" t="s">
        <v>36</v>
      </c>
      <c r="O16" s="4">
        <v>11417</v>
      </c>
      <c r="P16" s="5">
        <v>21</v>
      </c>
    </row>
    <row r="17" spans="3:16" x14ac:dyDescent="0.3">
      <c r="C17" s="26" t="s">
        <v>2</v>
      </c>
      <c r="D17" s="4">
        <v>45752</v>
      </c>
      <c r="E17"/>
      <c r="G17" s="26" t="s">
        <v>41</v>
      </c>
      <c r="H17" s="4">
        <v>3976</v>
      </c>
      <c r="L17" t="s">
        <v>41</v>
      </c>
      <c r="M17" t="s">
        <v>36</v>
      </c>
      <c r="O17" s="4">
        <v>10311</v>
      </c>
      <c r="P17" s="5">
        <v>231</v>
      </c>
    </row>
    <row r="18" spans="3:16" hidden="1" x14ac:dyDescent="0.3">
      <c r="C18" s="21" t="s">
        <v>35</v>
      </c>
      <c r="D18" s="4"/>
      <c r="E18"/>
      <c r="G18" s="21" t="s">
        <v>35</v>
      </c>
      <c r="H18" s="4"/>
      <c r="L18" t="s">
        <v>41</v>
      </c>
      <c r="M18" t="s">
        <v>36</v>
      </c>
      <c r="O18" s="4">
        <v>10304</v>
      </c>
      <c r="P18" s="5">
        <v>84</v>
      </c>
    </row>
    <row r="19" spans="3:16" hidden="1" x14ac:dyDescent="0.3">
      <c r="C19" s="26" t="s">
        <v>40</v>
      </c>
      <c r="D19" s="4">
        <v>38325</v>
      </c>
      <c r="E19"/>
      <c r="G19" s="26" t="s">
        <v>2</v>
      </c>
      <c r="H19" s="4">
        <v>2142</v>
      </c>
      <c r="L19" t="s">
        <v>7</v>
      </c>
      <c r="M19" t="s">
        <v>38</v>
      </c>
      <c r="O19" s="4">
        <v>10129</v>
      </c>
      <c r="P19" s="5">
        <v>312</v>
      </c>
    </row>
    <row r="20" spans="3:16" hidden="1" x14ac:dyDescent="0.3">
      <c r="D20"/>
      <c r="E20"/>
      <c r="L20" t="s">
        <v>6</v>
      </c>
      <c r="M20" t="s">
        <v>36</v>
      </c>
      <c r="O20" s="4">
        <v>10073</v>
      </c>
      <c r="P20" s="5">
        <v>120</v>
      </c>
    </row>
    <row r="21" spans="3:16" hidden="1" x14ac:dyDescent="0.3">
      <c r="D21"/>
      <c r="E21"/>
      <c r="L21" t="s">
        <v>2</v>
      </c>
      <c r="M21" t="s">
        <v>37</v>
      </c>
      <c r="O21" s="4">
        <v>9926</v>
      </c>
      <c r="P21" s="5">
        <v>201</v>
      </c>
    </row>
    <row r="22" spans="3:16" hidden="1" x14ac:dyDescent="0.3">
      <c r="D22"/>
      <c r="E22"/>
      <c r="L22" t="s">
        <v>7</v>
      </c>
      <c r="M22" t="s">
        <v>37</v>
      </c>
      <c r="O22" s="4">
        <v>9835</v>
      </c>
      <c r="P22" s="5">
        <v>207</v>
      </c>
    </row>
    <row r="23" spans="3:16" hidden="1" x14ac:dyDescent="0.3">
      <c r="D23"/>
      <c r="E23"/>
      <c r="L23" t="s">
        <v>40</v>
      </c>
      <c r="M23" t="s">
        <v>36</v>
      </c>
      <c r="O23" s="4">
        <v>9772</v>
      </c>
      <c r="P23" s="5">
        <v>90</v>
      </c>
    </row>
    <row r="24" spans="3:16" hidden="1" x14ac:dyDescent="0.3">
      <c r="D24"/>
      <c r="E24"/>
      <c r="L24" t="s">
        <v>8</v>
      </c>
      <c r="M24" t="s">
        <v>37</v>
      </c>
      <c r="O24" s="4">
        <v>9709</v>
      </c>
      <c r="P24" s="5">
        <v>30</v>
      </c>
    </row>
    <row r="25" spans="3:16" hidden="1" x14ac:dyDescent="0.3">
      <c r="D25"/>
      <c r="L25" t="s">
        <v>8</v>
      </c>
      <c r="M25" t="s">
        <v>39</v>
      </c>
      <c r="O25" s="4">
        <v>9660</v>
      </c>
      <c r="P25" s="5">
        <v>27</v>
      </c>
    </row>
    <row r="26" spans="3:16" hidden="1" x14ac:dyDescent="0.3">
      <c r="D26"/>
      <c r="L26" t="s">
        <v>41</v>
      </c>
      <c r="M26" t="s">
        <v>36</v>
      </c>
      <c r="O26" s="4">
        <v>9632</v>
      </c>
      <c r="P26" s="5">
        <v>288</v>
      </c>
    </row>
    <row r="27" spans="3:16" hidden="1" x14ac:dyDescent="0.3">
      <c r="D27"/>
      <c r="L27" t="s">
        <v>9</v>
      </c>
      <c r="M27" t="s">
        <v>38</v>
      </c>
      <c r="O27" s="4">
        <v>9506</v>
      </c>
      <c r="P27" s="5">
        <v>87</v>
      </c>
    </row>
    <row r="28" spans="3:16" hidden="1" x14ac:dyDescent="0.3">
      <c r="D28"/>
      <c r="L28" t="s">
        <v>2</v>
      </c>
      <c r="M28" t="s">
        <v>39</v>
      </c>
      <c r="O28" s="4">
        <v>9443</v>
      </c>
      <c r="P28" s="5">
        <v>162</v>
      </c>
    </row>
    <row r="29" spans="3:16" hidden="1" x14ac:dyDescent="0.3">
      <c r="D29"/>
      <c r="L29" t="s">
        <v>3</v>
      </c>
      <c r="M29" t="s">
        <v>36</v>
      </c>
      <c r="O29" s="4">
        <v>9198</v>
      </c>
      <c r="P29" s="5">
        <v>36</v>
      </c>
    </row>
    <row r="30" spans="3:16" hidden="1" x14ac:dyDescent="0.3">
      <c r="D30"/>
      <c r="L30" t="s">
        <v>9</v>
      </c>
      <c r="M30" t="s">
        <v>36</v>
      </c>
      <c r="O30" s="4">
        <v>9051</v>
      </c>
      <c r="P30" s="5">
        <v>57</v>
      </c>
    </row>
    <row r="31" spans="3:16" hidden="1" x14ac:dyDescent="0.3">
      <c r="D31"/>
      <c r="L31" t="s">
        <v>40</v>
      </c>
      <c r="M31" t="s">
        <v>37</v>
      </c>
      <c r="O31" s="4">
        <v>9002</v>
      </c>
      <c r="P31" s="5">
        <v>72</v>
      </c>
    </row>
    <row r="32" spans="3:16" hidden="1" x14ac:dyDescent="0.3">
      <c r="D32"/>
      <c r="L32" t="s">
        <v>8</v>
      </c>
      <c r="M32" t="s">
        <v>39</v>
      </c>
      <c r="O32" s="4">
        <v>8890</v>
      </c>
      <c r="P32" s="5">
        <v>210</v>
      </c>
    </row>
    <row r="33" spans="4:16" hidden="1" x14ac:dyDescent="0.3">
      <c r="D33"/>
      <c r="L33" t="s">
        <v>40</v>
      </c>
      <c r="M33" t="s">
        <v>35</v>
      </c>
      <c r="O33" s="4">
        <v>8869</v>
      </c>
      <c r="P33" s="5">
        <v>432</v>
      </c>
    </row>
    <row r="34" spans="4:16" hidden="1" x14ac:dyDescent="0.3">
      <c r="D34"/>
      <c r="L34" t="s">
        <v>7</v>
      </c>
      <c r="M34" t="s">
        <v>34</v>
      </c>
      <c r="O34" s="4">
        <v>8862</v>
      </c>
      <c r="P34" s="5">
        <v>189</v>
      </c>
    </row>
    <row r="35" spans="4:16" hidden="1" x14ac:dyDescent="0.3">
      <c r="D35"/>
      <c r="L35" t="s">
        <v>3</v>
      </c>
      <c r="M35" t="s">
        <v>38</v>
      </c>
      <c r="O35" s="4">
        <v>8841</v>
      </c>
      <c r="P35" s="5">
        <v>303</v>
      </c>
    </row>
    <row r="36" spans="4:16" hidden="1" x14ac:dyDescent="0.3">
      <c r="D36"/>
      <c r="L36" t="s">
        <v>5</v>
      </c>
      <c r="M36" t="s">
        <v>37</v>
      </c>
      <c r="O36" s="4">
        <v>8813</v>
      </c>
      <c r="P36" s="5">
        <v>21</v>
      </c>
    </row>
    <row r="37" spans="4:16" hidden="1" x14ac:dyDescent="0.3">
      <c r="D37"/>
      <c r="L37" t="s">
        <v>9</v>
      </c>
      <c r="M37" t="s">
        <v>34</v>
      </c>
      <c r="O37" s="4">
        <v>8463</v>
      </c>
      <c r="P37" s="5">
        <v>492</v>
      </c>
    </row>
    <row r="38" spans="4:16" hidden="1" x14ac:dyDescent="0.3">
      <c r="D38"/>
      <c r="L38" t="s">
        <v>7</v>
      </c>
      <c r="M38" t="s">
        <v>36</v>
      </c>
      <c r="O38" s="4">
        <v>8435</v>
      </c>
      <c r="P38" s="5">
        <v>42</v>
      </c>
    </row>
    <row r="39" spans="4:16" hidden="1" x14ac:dyDescent="0.3">
      <c r="D39"/>
      <c r="L39" t="s">
        <v>2</v>
      </c>
      <c r="M39" t="s">
        <v>36</v>
      </c>
      <c r="O39" s="4">
        <v>8211</v>
      </c>
      <c r="P39" s="5">
        <v>75</v>
      </c>
    </row>
    <row r="40" spans="4:16" hidden="1" x14ac:dyDescent="0.3">
      <c r="D40"/>
      <c r="L40" t="s">
        <v>9</v>
      </c>
      <c r="M40" t="s">
        <v>34</v>
      </c>
      <c r="O40" s="4">
        <v>8155</v>
      </c>
      <c r="P40" s="5">
        <v>90</v>
      </c>
    </row>
    <row r="41" spans="4:16" hidden="1" x14ac:dyDescent="0.3">
      <c r="D41"/>
      <c r="L41" t="s">
        <v>6</v>
      </c>
      <c r="M41" t="s">
        <v>34</v>
      </c>
      <c r="O41" s="4">
        <v>8008</v>
      </c>
      <c r="P41" s="5">
        <v>456</v>
      </c>
    </row>
    <row r="42" spans="4:16" hidden="1" x14ac:dyDescent="0.3">
      <c r="D42"/>
      <c r="L42" t="s">
        <v>41</v>
      </c>
      <c r="M42" t="s">
        <v>34</v>
      </c>
      <c r="O42" s="4">
        <v>7847</v>
      </c>
      <c r="P42" s="5">
        <v>174</v>
      </c>
    </row>
    <row r="43" spans="4:16" hidden="1" x14ac:dyDescent="0.3">
      <c r="D43"/>
      <c r="L43" t="s">
        <v>9</v>
      </c>
      <c r="M43" t="s">
        <v>35</v>
      </c>
      <c r="O43" s="4">
        <v>7833</v>
      </c>
      <c r="P43" s="5">
        <v>243</v>
      </c>
    </row>
    <row r="44" spans="4:16" hidden="1" x14ac:dyDescent="0.3">
      <c r="D44"/>
      <c r="L44" t="s">
        <v>2</v>
      </c>
      <c r="M44" t="s">
        <v>39</v>
      </c>
      <c r="O44" s="4">
        <v>7812</v>
      </c>
      <c r="P44" s="5">
        <v>81</v>
      </c>
    </row>
    <row r="45" spans="4:16" hidden="1" x14ac:dyDescent="0.3">
      <c r="D45"/>
      <c r="L45" t="s">
        <v>3</v>
      </c>
      <c r="M45" t="s">
        <v>34</v>
      </c>
      <c r="O45" s="4">
        <v>7777</v>
      </c>
      <c r="P45" s="5">
        <v>504</v>
      </c>
    </row>
    <row r="46" spans="4:16" hidden="1" x14ac:dyDescent="0.3">
      <c r="D46"/>
      <c r="L46" t="s">
        <v>7</v>
      </c>
      <c r="M46" t="s">
        <v>34</v>
      </c>
      <c r="O46" s="4">
        <v>7777</v>
      </c>
      <c r="P46" s="5">
        <v>39</v>
      </c>
    </row>
    <row r="47" spans="4:16" hidden="1" x14ac:dyDescent="0.3">
      <c r="D47"/>
      <c r="L47" t="s">
        <v>6</v>
      </c>
      <c r="M47" t="s">
        <v>37</v>
      </c>
      <c r="O47" s="4">
        <v>7693</v>
      </c>
      <c r="P47" s="5">
        <v>87</v>
      </c>
    </row>
    <row r="48" spans="4:16" hidden="1" x14ac:dyDescent="0.3">
      <c r="D48"/>
      <c r="L48" t="s">
        <v>40</v>
      </c>
      <c r="M48" t="s">
        <v>37</v>
      </c>
      <c r="O48" s="4">
        <v>7693</v>
      </c>
      <c r="P48" s="5">
        <v>21</v>
      </c>
    </row>
    <row r="49" spans="4:16" hidden="1" x14ac:dyDescent="0.3">
      <c r="D49"/>
      <c r="L49" t="s">
        <v>2</v>
      </c>
      <c r="M49" t="s">
        <v>39</v>
      </c>
      <c r="O49" s="4">
        <v>7651</v>
      </c>
      <c r="P49" s="5">
        <v>213</v>
      </c>
    </row>
    <row r="50" spans="4:16" hidden="1" x14ac:dyDescent="0.3">
      <c r="D50"/>
      <c r="L50" t="s">
        <v>2</v>
      </c>
      <c r="M50" t="s">
        <v>34</v>
      </c>
      <c r="O50" s="4">
        <v>7511</v>
      </c>
      <c r="P50" s="5">
        <v>120</v>
      </c>
    </row>
    <row r="51" spans="4:16" hidden="1" x14ac:dyDescent="0.3">
      <c r="D51"/>
      <c r="L51" t="s">
        <v>5</v>
      </c>
      <c r="M51" t="s">
        <v>38</v>
      </c>
      <c r="O51" s="4">
        <v>7483</v>
      </c>
      <c r="P51" s="5">
        <v>45</v>
      </c>
    </row>
    <row r="52" spans="4:16" hidden="1" x14ac:dyDescent="0.3">
      <c r="D52"/>
      <c r="L52" t="s">
        <v>41</v>
      </c>
      <c r="M52" t="s">
        <v>35</v>
      </c>
      <c r="O52" s="4">
        <v>7455</v>
      </c>
      <c r="P52" s="5">
        <v>216</v>
      </c>
    </row>
    <row r="53" spans="4:16" hidden="1" x14ac:dyDescent="0.3">
      <c r="D53"/>
      <c r="L53" t="s">
        <v>6</v>
      </c>
      <c r="M53" t="s">
        <v>38</v>
      </c>
      <c r="O53" s="4">
        <v>7322</v>
      </c>
      <c r="P53" s="5">
        <v>36</v>
      </c>
    </row>
    <row r="54" spans="4:16" hidden="1" x14ac:dyDescent="0.3">
      <c r="D54"/>
      <c r="L54" t="s">
        <v>3</v>
      </c>
      <c r="M54" t="s">
        <v>37</v>
      </c>
      <c r="O54" s="4">
        <v>7308</v>
      </c>
      <c r="P54" s="5">
        <v>327</v>
      </c>
    </row>
    <row r="55" spans="4:16" hidden="1" x14ac:dyDescent="0.3">
      <c r="D55"/>
      <c r="L55" t="s">
        <v>5</v>
      </c>
      <c r="M55" t="s">
        <v>34</v>
      </c>
      <c r="O55" s="4">
        <v>7280</v>
      </c>
      <c r="P55" s="5">
        <v>201</v>
      </c>
    </row>
    <row r="56" spans="4:16" hidden="1" x14ac:dyDescent="0.3">
      <c r="D56"/>
      <c r="L56" t="s">
        <v>9</v>
      </c>
      <c r="M56" t="s">
        <v>37</v>
      </c>
      <c r="O56" s="4">
        <v>7273</v>
      </c>
      <c r="P56" s="5">
        <v>96</v>
      </c>
    </row>
    <row r="57" spans="4:16" hidden="1" x14ac:dyDescent="0.3">
      <c r="D57"/>
      <c r="L57" t="s">
        <v>3</v>
      </c>
      <c r="M57" t="s">
        <v>34</v>
      </c>
      <c r="O57" s="4">
        <v>7259</v>
      </c>
      <c r="P57" s="5">
        <v>276</v>
      </c>
    </row>
    <row r="58" spans="4:16" hidden="1" x14ac:dyDescent="0.3">
      <c r="D58"/>
      <c r="L58" t="s">
        <v>5</v>
      </c>
      <c r="M58" t="s">
        <v>38</v>
      </c>
      <c r="O58" s="4">
        <v>7189</v>
      </c>
      <c r="P58" s="5">
        <v>54</v>
      </c>
    </row>
    <row r="59" spans="4:16" hidden="1" x14ac:dyDescent="0.3">
      <c r="D59"/>
      <c r="L59" t="s">
        <v>8</v>
      </c>
      <c r="M59" t="s">
        <v>39</v>
      </c>
      <c r="O59" s="4">
        <v>7021</v>
      </c>
      <c r="P59" s="5">
        <v>183</v>
      </c>
    </row>
    <row r="60" spans="4:16" hidden="1" x14ac:dyDescent="0.3">
      <c r="D60"/>
      <c r="L60" t="s">
        <v>5</v>
      </c>
      <c r="M60" t="s">
        <v>34</v>
      </c>
      <c r="O60" s="4">
        <v>6986</v>
      </c>
      <c r="P60" s="5">
        <v>21</v>
      </c>
    </row>
    <row r="61" spans="4:16" hidden="1" x14ac:dyDescent="0.3">
      <c r="D61"/>
      <c r="L61" t="s">
        <v>5</v>
      </c>
      <c r="M61" t="s">
        <v>39</v>
      </c>
      <c r="O61" s="4">
        <v>6909</v>
      </c>
      <c r="P61" s="5">
        <v>81</v>
      </c>
    </row>
    <row r="62" spans="4:16" hidden="1" x14ac:dyDescent="0.3">
      <c r="D62"/>
      <c r="L62" t="s">
        <v>10</v>
      </c>
      <c r="M62" t="s">
        <v>38</v>
      </c>
      <c r="O62" s="4">
        <v>6860</v>
      </c>
      <c r="P62" s="5">
        <v>126</v>
      </c>
    </row>
    <row r="63" spans="4:16" hidden="1" x14ac:dyDescent="0.3">
      <c r="D63"/>
      <c r="L63" t="s">
        <v>40</v>
      </c>
      <c r="M63" t="s">
        <v>35</v>
      </c>
      <c r="O63" s="4">
        <v>6853</v>
      </c>
      <c r="P63" s="5">
        <v>372</v>
      </c>
    </row>
    <row r="64" spans="4:16" hidden="1" x14ac:dyDescent="0.3">
      <c r="D64"/>
      <c r="L64" t="s">
        <v>9</v>
      </c>
      <c r="M64" t="s">
        <v>34</v>
      </c>
      <c r="O64" s="4">
        <v>6832</v>
      </c>
      <c r="P64" s="5">
        <v>27</v>
      </c>
    </row>
    <row r="65" spans="4:16" hidden="1" x14ac:dyDescent="0.3">
      <c r="D65"/>
      <c r="L65" t="s">
        <v>6</v>
      </c>
      <c r="M65" t="s">
        <v>37</v>
      </c>
      <c r="O65" s="4">
        <v>6818</v>
      </c>
      <c r="P65" s="5">
        <v>6</v>
      </c>
    </row>
    <row r="66" spans="4:16" hidden="1" x14ac:dyDescent="0.3">
      <c r="D66"/>
      <c r="L66" t="s">
        <v>7</v>
      </c>
      <c r="M66" t="s">
        <v>35</v>
      </c>
      <c r="O66" s="4">
        <v>6755</v>
      </c>
      <c r="P66" s="5">
        <v>252</v>
      </c>
    </row>
    <row r="67" spans="4:16" hidden="1" x14ac:dyDescent="0.3">
      <c r="D67"/>
      <c r="L67" t="s">
        <v>40</v>
      </c>
      <c r="M67" t="s">
        <v>34</v>
      </c>
      <c r="O67" s="4">
        <v>6748</v>
      </c>
      <c r="P67" s="5">
        <v>48</v>
      </c>
    </row>
    <row r="68" spans="4:16" hidden="1" x14ac:dyDescent="0.3">
      <c r="D68"/>
      <c r="L68" t="s">
        <v>6</v>
      </c>
      <c r="M68" t="s">
        <v>34</v>
      </c>
      <c r="O68" s="4">
        <v>6734</v>
      </c>
      <c r="P68" s="5">
        <v>123</v>
      </c>
    </row>
    <row r="69" spans="4:16" hidden="1" x14ac:dyDescent="0.3">
      <c r="D69"/>
      <c r="L69" t="s">
        <v>8</v>
      </c>
      <c r="M69" t="s">
        <v>35</v>
      </c>
      <c r="O69" s="4">
        <v>6706</v>
      </c>
      <c r="P69" s="5">
        <v>459</v>
      </c>
    </row>
    <row r="70" spans="4:16" hidden="1" x14ac:dyDescent="0.3">
      <c r="D70"/>
      <c r="L70" t="s">
        <v>10</v>
      </c>
      <c r="M70" t="s">
        <v>36</v>
      </c>
      <c r="O70" s="4">
        <v>6657</v>
      </c>
      <c r="P70" s="5">
        <v>303</v>
      </c>
    </row>
    <row r="71" spans="4:16" hidden="1" x14ac:dyDescent="0.3">
      <c r="D71"/>
      <c r="L71" t="s">
        <v>3</v>
      </c>
      <c r="M71" t="s">
        <v>35</v>
      </c>
      <c r="O71" s="4">
        <v>6657</v>
      </c>
      <c r="P71" s="5">
        <v>276</v>
      </c>
    </row>
    <row r="72" spans="4:16" hidden="1" x14ac:dyDescent="0.3">
      <c r="D72"/>
      <c r="L72" t="s">
        <v>7</v>
      </c>
      <c r="M72" t="s">
        <v>37</v>
      </c>
      <c r="O72" s="4">
        <v>6608</v>
      </c>
      <c r="P72" s="5">
        <v>225</v>
      </c>
    </row>
    <row r="73" spans="4:16" hidden="1" x14ac:dyDescent="0.3">
      <c r="D73"/>
      <c r="L73" t="s">
        <v>2</v>
      </c>
      <c r="M73" t="s">
        <v>38</v>
      </c>
      <c r="O73" s="4">
        <v>6580</v>
      </c>
      <c r="P73" s="5">
        <v>183</v>
      </c>
    </row>
    <row r="74" spans="4:16" hidden="1" x14ac:dyDescent="0.3">
      <c r="D74"/>
      <c r="L74" t="s">
        <v>7</v>
      </c>
      <c r="M74" t="s">
        <v>37</v>
      </c>
      <c r="O74" s="4">
        <v>6454</v>
      </c>
      <c r="P74" s="5">
        <v>54</v>
      </c>
    </row>
    <row r="75" spans="4:16" hidden="1" x14ac:dyDescent="0.3">
      <c r="L75" t="s">
        <v>8</v>
      </c>
      <c r="M75" t="s">
        <v>38</v>
      </c>
      <c r="O75" s="4">
        <v>6433</v>
      </c>
      <c r="P75" s="5">
        <v>78</v>
      </c>
    </row>
    <row r="76" spans="4:16" hidden="1" x14ac:dyDescent="0.3">
      <c r="L76" t="s">
        <v>41</v>
      </c>
      <c r="M76" t="s">
        <v>37</v>
      </c>
      <c r="O76" s="4">
        <v>6398</v>
      </c>
      <c r="P76" s="5">
        <v>102</v>
      </c>
    </row>
    <row r="77" spans="4:16" hidden="1" x14ac:dyDescent="0.3">
      <c r="L77" t="s">
        <v>7</v>
      </c>
      <c r="M77" t="s">
        <v>37</v>
      </c>
      <c r="O77" s="4">
        <v>6391</v>
      </c>
      <c r="P77" s="5">
        <v>48</v>
      </c>
    </row>
    <row r="78" spans="4:16" hidden="1" x14ac:dyDescent="0.3">
      <c r="L78" t="s">
        <v>40</v>
      </c>
      <c r="M78" t="s">
        <v>39</v>
      </c>
      <c r="O78" s="4">
        <v>6370</v>
      </c>
      <c r="P78" s="5">
        <v>30</v>
      </c>
    </row>
    <row r="79" spans="4:16" hidden="1" x14ac:dyDescent="0.3">
      <c r="L79" t="s">
        <v>5</v>
      </c>
      <c r="M79" t="s">
        <v>36</v>
      </c>
      <c r="O79" s="4">
        <v>6314</v>
      </c>
      <c r="P79" s="5">
        <v>15</v>
      </c>
    </row>
    <row r="80" spans="4:16" hidden="1" x14ac:dyDescent="0.3">
      <c r="L80" t="s">
        <v>3</v>
      </c>
      <c r="M80" t="s">
        <v>34</v>
      </c>
      <c r="O80" s="4">
        <v>6300</v>
      </c>
      <c r="P80" s="5">
        <v>42</v>
      </c>
    </row>
    <row r="81" spans="12:16" hidden="1" x14ac:dyDescent="0.3">
      <c r="L81" t="s">
        <v>8</v>
      </c>
      <c r="M81" t="s">
        <v>37</v>
      </c>
      <c r="O81" s="4">
        <v>6279</v>
      </c>
      <c r="P81" s="5">
        <v>45</v>
      </c>
    </row>
    <row r="82" spans="12:16" hidden="1" x14ac:dyDescent="0.3">
      <c r="L82" t="s">
        <v>5</v>
      </c>
      <c r="M82" t="s">
        <v>34</v>
      </c>
      <c r="O82" s="4">
        <v>6279</v>
      </c>
      <c r="P82" s="5">
        <v>237</v>
      </c>
    </row>
    <row r="83" spans="12:16" hidden="1" x14ac:dyDescent="0.3">
      <c r="L83" t="s">
        <v>5</v>
      </c>
      <c r="M83" t="s">
        <v>36</v>
      </c>
      <c r="O83" s="4">
        <v>6146</v>
      </c>
      <c r="P83" s="5">
        <v>63</v>
      </c>
    </row>
    <row r="84" spans="12:16" hidden="1" x14ac:dyDescent="0.3">
      <c r="L84" t="s">
        <v>40</v>
      </c>
      <c r="M84" t="s">
        <v>37</v>
      </c>
      <c r="O84" s="4">
        <v>6132</v>
      </c>
      <c r="P84" s="5">
        <v>93</v>
      </c>
    </row>
    <row r="85" spans="12:16" hidden="1" x14ac:dyDescent="0.3">
      <c r="L85" t="s">
        <v>40</v>
      </c>
      <c r="M85" t="s">
        <v>38</v>
      </c>
      <c r="O85" s="4">
        <v>6125</v>
      </c>
      <c r="P85" s="5">
        <v>102</v>
      </c>
    </row>
    <row r="86" spans="12:16" hidden="1" x14ac:dyDescent="0.3">
      <c r="L86" t="s">
        <v>6</v>
      </c>
      <c r="M86" t="s">
        <v>36</v>
      </c>
      <c r="O86" s="4">
        <v>6118</v>
      </c>
      <c r="P86" s="5">
        <v>9</v>
      </c>
    </row>
    <row r="87" spans="12:16" hidden="1" x14ac:dyDescent="0.3">
      <c r="L87" t="s">
        <v>41</v>
      </c>
      <c r="M87" t="s">
        <v>36</v>
      </c>
      <c r="O87" s="4">
        <v>6118</v>
      </c>
      <c r="P87" s="5">
        <v>174</v>
      </c>
    </row>
    <row r="88" spans="12:16" hidden="1" x14ac:dyDescent="0.3">
      <c r="L88" t="s">
        <v>5</v>
      </c>
      <c r="M88" t="s">
        <v>36</v>
      </c>
      <c r="O88" s="4">
        <v>6111</v>
      </c>
      <c r="P88" s="5">
        <v>3</v>
      </c>
    </row>
    <row r="89" spans="12:16" hidden="1" x14ac:dyDescent="0.3">
      <c r="L89" t="s">
        <v>6</v>
      </c>
      <c r="M89" t="s">
        <v>39</v>
      </c>
      <c r="O89" s="4">
        <v>6048</v>
      </c>
      <c r="P89" s="5">
        <v>27</v>
      </c>
    </row>
    <row r="90" spans="12:16" hidden="1" x14ac:dyDescent="0.3">
      <c r="L90" t="s">
        <v>2</v>
      </c>
      <c r="M90" t="s">
        <v>39</v>
      </c>
      <c r="O90" s="4">
        <v>6027</v>
      </c>
      <c r="P90" s="5">
        <v>144</v>
      </c>
    </row>
    <row r="91" spans="12:16" hidden="1" x14ac:dyDescent="0.3">
      <c r="L91" t="s">
        <v>41</v>
      </c>
      <c r="M91" t="s">
        <v>38</v>
      </c>
      <c r="O91" s="4">
        <v>5915</v>
      </c>
      <c r="P91" s="5">
        <v>3</v>
      </c>
    </row>
    <row r="92" spans="12:16" hidden="1" x14ac:dyDescent="0.3">
      <c r="L92" t="s">
        <v>40</v>
      </c>
      <c r="M92" t="s">
        <v>39</v>
      </c>
      <c r="O92" s="4">
        <v>5817</v>
      </c>
      <c r="P92" s="5">
        <v>12</v>
      </c>
    </row>
    <row r="93" spans="12:16" hidden="1" x14ac:dyDescent="0.3">
      <c r="L93" t="s">
        <v>40</v>
      </c>
      <c r="M93" t="s">
        <v>39</v>
      </c>
      <c r="O93" s="4">
        <v>5775</v>
      </c>
      <c r="P93" s="5">
        <v>42</v>
      </c>
    </row>
    <row r="94" spans="12:16" hidden="1" x14ac:dyDescent="0.3">
      <c r="L94" t="s">
        <v>7</v>
      </c>
      <c r="M94" t="s">
        <v>38</v>
      </c>
      <c r="O94" s="4">
        <v>5677</v>
      </c>
      <c r="P94" s="5">
        <v>258</v>
      </c>
    </row>
    <row r="95" spans="12:16" hidden="1" x14ac:dyDescent="0.3">
      <c r="L95" t="s">
        <v>40</v>
      </c>
      <c r="M95" t="s">
        <v>38</v>
      </c>
      <c r="O95" s="4">
        <v>5670</v>
      </c>
      <c r="P95" s="5">
        <v>297</v>
      </c>
    </row>
    <row r="96" spans="12:16" hidden="1" x14ac:dyDescent="0.3">
      <c r="L96" t="s">
        <v>10</v>
      </c>
      <c r="M96" t="s">
        <v>38</v>
      </c>
      <c r="O96" s="4">
        <v>5586</v>
      </c>
      <c r="P96" s="5">
        <v>525</v>
      </c>
    </row>
    <row r="97" spans="12:16" hidden="1" x14ac:dyDescent="0.3">
      <c r="L97" t="s">
        <v>7</v>
      </c>
      <c r="M97" t="s">
        <v>36</v>
      </c>
      <c r="O97" s="4">
        <v>5551</v>
      </c>
      <c r="P97" s="5">
        <v>252</v>
      </c>
    </row>
    <row r="98" spans="12:16" hidden="1" x14ac:dyDescent="0.3">
      <c r="L98" t="s">
        <v>5</v>
      </c>
      <c r="M98" t="s">
        <v>38</v>
      </c>
      <c r="O98" s="4">
        <v>5474</v>
      </c>
      <c r="P98" s="5">
        <v>168</v>
      </c>
    </row>
    <row r="99" spans="12:16" hidden="1" x14ac:dyDescent="0.3">
      <c r="L99" t="s">
        <v>40</v>
      </c>
      <c r="M99" t="s">
        <v>36</v>
      </c>
      <c r="O99" s="4">
        <v>5439</v>
      </c>
      <c r="P99" s="5">
        <v>30</v>
      </c>
    </row>
    <row r="100" spans="12:16" hidden="1" x14ac:dyDescent="0.3">
      <c r="L100" t="s">
        <v>10</v>
      </c>
      <c r="M100" t="s">
        <v>34</v>
      </c>
      <c r="O100" s="4">
        <v>5355</v>
      </c>
      <c r="P100" s="5">
        <v>204</v>
      </c>
    </row>
    <row r="101" spans="12:16" hidden="1" x14ac:dyDescent="0.3">
      <c r="L101" t="s">
        <v>7</v>
      </c>
      <c r="M101" t="s">
        <v>37</v>
      </c>
      <c r="O101" s="4">
        <v>5306</v>
      </c>
      <c r="P101" s="5">
        <v>0</v>
      </c>
    </row>
    <row r="102" spans="12:16" hidden="1" x14ac:dyDescent="0.3">
      <c r="L102" t="s">
        <v>5</v>
      </c>
      <c r="M102" t="s">
        <v>39</v>
      </c>
      <c r="O102" s="4">
        <v>5236</v>
      </c>
      <c r="P102" s="5">
        <v>51</v>
      </c>
    </row>
    <row r="103" spans="12:16" hidden="1" x14ac:dyDescent="0.3">
      <c r="L103" t="s">
        <v>7</v>
      </c>
      <c r="M103" t="s">
        <v>35</v>
      </c>
      <c r="O103" s="4">
        <v>5194</v>
      </c>
      <c r="P103" s="5">
        <v>288</v>
      </c>
    </row>
    <row r="104" spans="12:16" hidden="1" x14ac:dyDescent="0.3">
      <c r="L104" t="s">
        <v>5</v>
      </c>
      <c r="M104" t="s">
        <v>38</v>
      </c>
      <c r="O104" s="4">
        <v>5075</v>
      </c>
      <c r="P104" s="5">
        <v>21</v>
      </c>
    </row>
    <row r="105" spans="12:16" hidden="1" x14ac:dyDescent="0.3">
      <c r="L105" t="s">
        <v>40</v>
      </c>
      <c r="M105" t="s">
        <v>34</v>
      </c>
      <c r="O105" s="4">
        <v>5019</v>
      </c>
      <c r="P105" s="5">
        <v>156</v>
      </c>
    </row>
    <row r="106" spans="12:16" hidden="1" x14ac:dyDescent="0.3">
      <c r="L106" t="s">
        <v>8</v>
      </c>
      <c r="M106" t="s">
        <v>36</v>
      </c>
      <c r="O106" s="4">
        <v>5019</v>
      </c>
      <c r="P106" s="5">
        <v>150</v>
      </c>
    </row>
    <row r="107" spans="12:16" hidden="1" x14ac:dyDescent="0.3">
      <c r="L107" t="s">
        <v>8</v>
      </c>
      <c r="M107" t="s">
        <v>35</v>
      </c>
      <c r="O107" s="4">
        <v>5012</v>
      </c>
      <c r="P107" s="5">
        <v>210</v>
      </c>
    </row>
    <row r="108" spans="12:16" hidden="1" x14ac:dyDescent="0.3">
      <c r="L108" t="s">
        <v>5</v>
      </c>
      <c r="M108" t="s">
        <v>37</v>
      </c>
      <c r="O108" s="4">
        <v>4991</v>
      </c>
      <c r="P108" s="5">
        <v>12</v>
      </c>
    </row>
    <row r="109" spans="12:16" hidden="1" x14ac:dyDescent="0.3">
      <c r="L109" t="s">
        <v>10</v>
      </c>
      <c r="M109" t="s">
        <v>34</v>
      </c>
      <c r="O109" s="4">
        <v>4991</v>
      </c>
      <c r="P109" s="5">
        <v>9</v>
      </c>
    </row>
    <row r="110" spans="12:16" hidden="1" x14ac:dyDescent="0.3">
      <c r="L110" t="s">
        <v>6</v>
      </c>
      <c r="M110" t="s">
        <v>36</v>
      </c>
      <c r="O110" s="4">
        <v>4970</v>
      </c>
      <c r="P110" s="5">
        <v>156</v>
      </c>
    </row>
    <row r="111" spans="12:16" hidden="1" x14ac:dyDescent="0.3">
      <c r="L111" t="s">
        <v>3</v>
      </c>
      <c r="M111" t="s">
        <v>39</v>
      </c>
      <c r="O111" s="4">
        <v>4956</v>
      </c>
      <c r="P111" s="5">
        <v>171</v>
      </c>
    </row>
    <row r="112" spans="12:16" hidden="1" x14ac:dyDescent="0.3">
      <c r="L112" t="s">
        <v>6</v>
      </c>
      <c r="M112" t="s">
        <v>37</v>
      </c>
      <c r="O112" s="4">
        <v>4949</v>
      </c>
      <c r="P112" s="5">
        <v>189</v>
      </c>
    </row>
    <row r="113" spans="12:16" hidden="1" x14ac:dyDescent="0.3">
      <c r="L113" t="s">
        <v>41</v>
      </c>
      <c r="M113" t="s">
        <v>34</v>
      </c>
      <c r="O113" s="4">
        <v>4935</v>
      </c>
      <c r="P113" s="5">
        <v>126</v>
      </c>
    </row>
    <row r="114" spans="12:16" hidden="1" x14ac:dyDescent="0.3">
      <c r="L114" t="s">
        <v>10</v>
      </c>
      <c r="M114" t="s">
        <v>39</v>
      </c>
      <c r="O114" s="4">
        <v>4858</v>
      </c>
      <c r="P114" s="5">
        <v>279</v>
      </c>
    </row>
    <row r="115" spans="12:16" hidden="1" x14ac:dyDescent="0.3">
      <c r="L115" t="s">
        <v>2</v>
      </c>
      <c r="M115" t="s">
        <v>39</v>
      </c>
      <c r="O115" s="4">
        <v>4802</v>
      </c>
      <c r="P115" s="5">
        <v>36</v>
      </c>
    </row>
    <row r="116" spans="12:16" hidden="1" x14ac:dyDescent="0.3">
      <c r="L116" t="s">
        <v>6</v>
      </c>
      <c r="M116" t="s">
        <v>35</v>
      </c>
      <c r="O116" s="4">
        <v>4781</v>
      </c>
      <c r="P116" s="5">
        <v>123</v>
      </c>
    </row>
    <row r="117" spans="12:16" hidden="1" x14ac:dyDescent="0.3">
      <c r="L117" t="s">
        <v>41</v>
      </c>
      <c r="M117" t="s">
        <v>35</v>
      </c>
      <c r="O117" s="4">
        <v>4760</v>
      </c>
      <c r="P117" s="5">
        <v>69</v>
      </c>
    </row>
    <row r="118" spans="12:16" hidden="1" x14ac:dyDescent="0.3">
      <c r="L118" t="s">
        <v>8</v>
      </c>
      <c r="M118" t="s">
        <v>35</v>
      </c>
      <c r="O118" s="4">
        <v>4753</v>
      </c>
      <c r="P118" s="5">
        <v>300</v>
      </c>
    </row>
    <row r="119" spans="12:16" hidden="1" x14ac:dyDescent="0.3">
      <c r="L119" t="s">
        <v>5</v>
      </c>
      <c r="M119" t="s">
        <v>35</v>
      </c>
      <c r="O119" s="4">
        <v>4753</v>
      </c>
      <c r="P119" s="5">
        <v>246</v>
      </c>
    </row>
    <row r="120" spans="12:16" hidden="1" x14ac:dyDescent="0.3">
      <c r="L120" t="s">
        <v>40</v>
      </c>
      <c r="M120" t="s">
        <v>35</v>
      </c>
      <c r="O120" s="4">
        <v>4725</v>
      </c>
      <c r="P120" s="5">
        <v>174</v>
      </c>
    </row>
    <row r="121" spans="12:16" hidden="1" x14ac:dyDescent="0.3">
      <c r="L121" t="s">
        <v>10</v>
      </c>
      <c r="M121" t="s">
        <v>37</v>
      </c>
      <c r="O121" s="4">
        <v>4683</v>
      </c>
      <c r="P121" s="5">
        <v>30</v>
      </c>
    </row>
    <row r="122" spans="12:16" hidden="1" x14ac:dyDescent="0.3">
      <c r="L122" t="s">
        <v>7</v>
      </c>
      <c r="M122" t="s">
        <v>35</v>
      </c>
      <c r="O122" s="4">
        <v>4606</v>
      </c>
      <c r="P122" s="5">
        <v>63</v>
      </c>
    </row>
    <row r="123" spans="12:16" hidden="1" x14ac:dyDescent="0.3">
      <c r="L123" t="s">
        <v>3</v>
      </c>
      <c r="M123" t="s">
        <v>37</v>
      </c>
      <c r="O123" s="4">
        <v>4592</v>
      </c>
      <c r="P123" s="5">
        <v>324</v>
      </c>
    </row>
    <row r="124" spans="12:16" hidden="1" x14ac:dyDescent="0.3">
      <c r="L124" t="s">
        <v>7</v>
      </c>
      <c r="M124" t="s">
        <v>35</v>
      </c>
      <c r="O124" s="4">
        <v>4585</v>
      </c>
      <c r="P124" s="5">
        <v>240</v>
      </c>
    </row>
    <row r="125" spans="12:16" hidden="1" x14ac:dyDescent="0.3">
      <c r="L125" t="s">
        <v>7</v>
      </c>
      <c r="M125" t="s">
        <v>37</v>
      </c>
      <c r="O125" s="4">
        <v>4487</v>
      </c>
      <c r="P125" s="5">
        <v>111</v>
      </c>
    </row>
    <row r="126" spans="12:16" hidden="1" x14ac:dyDescent="0.3">
      <c r="L126" t="s">
        <v>7</v>
      </c>
      <c r="M126" t="s">
        <v>37</v>
      </c>
      <c r="O126" s="4">
        <v>4487</v>
      </c>
      <c r="P126" s="5">
        <v>333</v>
      </c>
    </row>
    <row r="127" spans="12:16" hidden="1" x14ac:dyDescent="0.3">
      <c r="L127" t="s">
        <v>5</v>
      </c>
      <c r="M127" t="s">
        <v>35</v>
      </c>
      <c r="O127" s="4">
        <v>4480</v>
      </c>
      <c r="P127" s="5">
        <v>357</v>
      </c>
    </row>
    <row r="128" spans="12:16" hidden="1" x14ac:dyDescent="0.3">
      <c r="L128" t="s">
        <v>7</v>
      </c>
      <c r="M128" t="s">
        <v>39</v>
      </c>
      <c r="O128" s="4">
        <v>4438</v>
      </c>
      <c r="P128" s="5">
        <v>246</v>
      </c>
    </row>
    <row r="129" spans="12:16" hidden="1" x14ac:dyDescent="0.3">
      <c r="L129" t="s">
        <v>40</v>
      </c>
      <c r="M129" t="s">
        <v>36</v>
      </c>
      <c r="O129" s="4">
        <v>4424</v>
      </c>
      <c r="P129" s="5">
        <v>201</v>
      </c>
    </row>
    <row r="130" spans="12:16" hidden="1" x14ac:dyDescent="0.3">
      <c r="L130" t="s">
        <v>2</v>
      </c>
      <c r="M130" t="s">
        <v>38</v>
      </c>
      <c r="O130" s="4">
        <v>4417</v>
      </c>
      <c r="P130" s="5">
        <v>153</v>
      </c>
    </row>
    <row r="131" spans="12:16" hidden="1" x14ac:dyDescent="0.3">
      <c r="L131" t="s">
        <v>2</v>
      </c>
      <c r="M131" t="s">
        <v>38</v>
      </c>
      <c r="O131" s="4">
        <v>4326</v>
      </c>
      <c r="P131" s="5">
        <v>348</v>
      </c>
    </row>
    <row r="132" spans="12:16" hidden="1" x14ac:dyDescent="0.3">
      <c r="L132" t="s">
        <v>6</v>
      </c>
      <c r="M132" t="s">
        <v>36</v>
      </c>
      <c r="O132" s="4">
        <v>4319</v>
      </c>
      <c r="P132" s="5">
        <v>30</v>
      </c>
    </row>
    <row r="133" spans="12:16" hidden="1" x14ac:dyDescent="0.3">
      <c r="L133" t="s">
        <v>9</v>
      </c>
      <c r="M133" t="s">
        <v>37</v>
      </c>
      <c r="O133" s="4">
        <v>4305</v>
      </c>
      <c r="P133" s="5">
        <v>156</v>
      </c>
    </row>
    <row r="134" spans="12:16" hidden="1" x14ac:dyDescent="0.3">
      <c r="L134" t="s">
        <v>6</v>
      </c>
      <c r="M134" t="s">
        <v>34</v>
      </c>
      <c r="O134" s="4">
        <v>4242</v>
      </c>
      <c r="P134" s="5">
        <v>207</v>
      </c>
    </row>
    <row r="135" spans="12:16" hidden="1" x14ac:dyDescent="0.3">
      <c r="L135" t="s">
        <v>9</v>
      </c>
      <c r="M135" t="s">
        <v>38</v>
      </c>
      <c r="O135" s="4">
        <v>4137</v>
      </c>
      <c r="P135" s="5">
        <v>60</v>
      </c>
    </row>
    <row r="136" spans="12:16" hidden="1" x14ac:dyDescent="0.3">
      <c r="L136" t="s">
        <v>10</v>
      </c>
      <c r="M136" t="s">
        <v>34</v>
      </c>
      <c r="O136" s="4">
        <v>4053</v>
      </c>
      <c r="P136" s="5">
        <v>24</v>
      </c>
    </row>
    <row r="137" spans="12:16" hidden="1" x14ac:dyDescent="0.3">
      <c r="L137" t="s">
        <v>40</v>
      </c>
      <c r="M137" t="s">
        <v>34</v>
      </c>
      <c r="O137" s="4">
        <v>4018</v>
      </c>
      <c r="P137" s="5">
        <v>162</v>
      </c>
    </row>
    <row r="138" spans="12:16" hidden="1" x14ac:dyDescent="0.3">
      <c r="L138" t="s">
        <v>5</v>
      </c>
      <c r="M138" t="s">
        <v>39</v>
      </c>
      <c r="O138" s="4">
        <v>4018</v>
      </c>
      <c r="P138" s="5">
        <v>171</v>
      </c>
    </row>
    <row r="139" spans="12:16" hidden="1" x14ac:dyDescent="0.3">
      <c r="L139" t="s">
        <v>2</v>
      </c>
      <c r="M139" t="s">
        <v>39</v>
      </c>
      <c r="O139" s="4">
        <v>4018</v>
      </c>
      <c r="P139" s="5">
        <v>126</v>
      </c>
    </row>
    <row r="140" spans="12:16" hidden="1" x14ac:dyDescent="0.3">
      <c r="L140" t="s">
        <v>3</v>
      </c>
      <c r="M140" t="s">
        <v>37</v>
      </c>
      <c r="O140" s="4">
        <v>3983</v>
      </c>
      <c r="P140" s="5">
        <v>144</v>
      </c>
    </row>
    <row r="141" spans="12:16" hidden="1" x14ac:dyDescent="0.3">
      <c r="L141" t="s">
        <v>41</v>
      </c>
      <c r="M141" t="s">
        <v>39</v>
      </c>
      <c r="O141" s="4">
        <v>3976</v>
      </c>
      <c r="P141" s="5">
        <v>72</v>
      </c>
    </row>
    <row r="142" spans="12:16" hidden="1" x14ac:dyDescent="0.3">
      <c r="L142" t="s">
        <v>9</v>
      </c>
      <c r="M142" t="s">
        <v>39</v>
      </c>
      <c r="O142" s="4">
        <v>3920</v>
      </c>
      <c r="P142" s="5">
        <v>306</v>
      </c>
    </row>
    <row r="143" spans="12:16" hidden="1" x14ac:dyDescent="0.3">
      <c r="L143" t="s">
        <v>6</v>
      </c>
      <c r="M143" t="s">
        <v>35</v>
      </c>
      <c r="O143" s="4">
        <v>3864</v>
      </c>
      <c r="P143" s="5">
        <v>177</v>
      </c>
    </row>
    <row r="144" spans="12:16" hidden="1" x14ac:dyDescent="0.3">
      <c r="L144" t="s">
        <v>9</v>
      </c>
      <c r="M144" t="s">
        <v>38</v>
      </c>
      <c r="O144" s="4">
        <v>3850</v>
      </c>
      <c r="P144" s="5">
        <v>102</v>
      </c>
    </row>
    <row r="145" spans="12:16" hidden="1" x14ac:dyDescent="0.3">
      <c r="L145" t="s">
        <v>7</v>
      </c>
      <c r="M145" t="s">
        <v>34</v>
      </c>
      <c r="O145" s="4">
        <v>3829</v>
      </c>
      <c r="P145" s="5">
        <v>24</v>
      </c>
    </row>
    <row r="146" spans="12:16" hidden="1" x14ac:dyDescent="0.3">
      <c r="L146" t="s">
        <v>10</v>
      </c>
      <c r="M146" t="s">
        <v>35</v>
      </c>
      <c r="O146" s="4">
        <v>3808</v>
      </c>
      <c r="P146" s="5">
        <v>279</v>
      </c>
    </row>
    <row r="147" spans="12:16" hidden="1" x14ac:dyDescent="0.3">
      <c r="L147" t="s">
        <v>40</v>
      </c>
      <c r="M147" t="s">
        <v>34</v>
      </c>
      <c r="O147" s="4">
        <v>3794</v>
      </c>
      <c r="P147" s="5">
        <v>159</v>
      </c>
    </row>
    <row r="148" spans="12:16" hidden="1" x14ac:dyDescent="0.3">
      <c r="L148" t="s">
        <v>3</v>
      </c>
      <c r="M148" t="s">
        <v>36</v>
      </c>
      <c r="O148" s="4">
        <v>3773</v>
      </c>
      <c r="P148" s="5">
        <v>165</v>
      </c>
    </row>
    <row r="149" spans="12:16" hidden="1" x14ac:dyDescent="0.3">
      <c r="L149" t="s">
        <v>6</v>
      </c>
      <c r="M149" t="s">
        <v>34</v>
      </c>
      <c r="O149" s="4">
        <v>3759</v>
      </c>
      <c r="P149" s="5">
        <v>150</v>
      </c>
    </row>
    <row r="150" spans="12:16" hidden="1" x14ac:dyDescent="0.3">
      <c r="L150" t="s">
        <v>8</v>
      </c>
      <c r="M150" t="s">
        <v>38</v>
      </c>
      <c r="O150" s="4">
        <v>3752</v>
      </c>
      <c r="P150" s="5">
        <v>213</v>
      </c>
    </row>
    <row r="151" spans="12:16" hidden="1" x14ac:dyDescent="0.3">
      <c r="L151" t="s">
        <v>3</v>
      </c>
      <c r="M151" t="s">
        <v>34</v>
      </c>
      <c r="O151" s="4">
        <v>3689</v>
      </c>
      <c r="P151" s="5">
        <v>312</v>
      </c>
    </row>
    <row r="152" spans="12:16" hidden="1" x14ac:dyDescent="0.3">
      <c r="L152" t="s">
        <v>3</v>
      </c>
      <c r="M152" t="s">
        <v>39</v>
      </c>
      <c r="O152" s="4">
        <v>3640</v>
      </c>
      <c r="P152" s="5">
        <v>51</v>
      </c>
    </row>
    <row r="153" spans="12:16" hidden="1" x14ac:dyDescent="0.3">
      <c r="L153" t="s">
        <v>8</v>
      </c>
      <c r="M153" t="s">
        <v>35</v>
      </c>
      <c r="O153" s="4">
        <v>3598</v>
      </c>
      <c r="P153" s="5">
        <v>81</v>
      </c>
    </row>
    <row r="154" spans="12:16" hidden="1" x14ac:dyDescent="0.3">
      <c r="L154" t="s">
        <v>6</v>
      </c>
      <c r="M154" t="s">
        <v>37</v>
      </c>
      <c r="O154" s="4">
        <v>3556</v>
      </c>
      <c r="P154" s="5">
        <v>459</v>
      </c>
    </row>
    <row r="155" spans="12:16" hidden="1" x14ac:dyDescent="0.3">
      <c r="L155" t="s">
        <v>2</v>
      </c>
      <c r="M155" t="s">
        <v>38</v>
      </c>
      <c r="O155" s="4">
        <v>3549</v>
      </c>
      <c r="P155" s="5">
        <v>3</v>
      </c>
    </row>
    <row r="156" spans="12:16" hidden="1" x14ac:dyDescent="0.3">
      <c r="L156" t="s">
        <v>8</v>
      </c>
      <c r="M156" t="s">
        <v>34</v>
      </c>
      <c r="O156" s="4">
        <v>3507</v>
      </c>
      <c r="P156" s="5">
        <v>288</v>
      </c>
    </row>
    <row r="157" spans="12:16" hidden="1" x14ac:dyDescent="0.3">
      <c r="L157" t="s">
        <v>10</v>
      </c>
      <c r="M157" t="s">
        <v>35</v>
      </c>
      <c r="O157" s="4">
        <v>3472</v>
      </c>
      <c r="P157" s="5">
        <v>96</v>
      </c>
    </row>
    <row r="158" spans="12:16" hidden="1" x14ac:dyDescent="0.3">
      <c r="L158" t="s">
        <v>6</v>
      </c>
      <c r="M158" t="s">
        <v>34</v>
      </c>
      <c r="O158" s="4">
        <v>3402</v>
      </c>
      <c r="P158" s="5">
        <v>366</v>
      </c>
    </row>
    <row r="159" spans="12:16" hidden="1" x14ac:dyDescent="0.3">
      <c r="L159" t="s">
        <v>41</v>
      </c>
      <c r="M159" t="s">
        <v>37</v>
      </c>
      <c r="O159" s="4">
        <v>3388</v>
      </c>
      <c r="P159" s="5">
        <v>123</v>
      </c>
    </row>
    <row r="160" spans="12:16" hidden="1" x14ac:dyDescent="0.3">
      <c r="L160" t="s">
        <v>6</v>
      </c>
      <c r="M160" t="s">
        <v>34</v>
      </c>
      <c r="O160" s="4">
        <v>3339</v>
      </c>
      <c r="P160" s="5">
        <v>75</v>
      </c>
    </row>
    <row r="161" spans="12:16" hidden="1" x14ac:dyDescent="0.3">
      <c r="L161" t="s">
        <v>3</v>
      </c>
      <c r="M161" t="s">
        <v>36</v>
      </c>
      <c r="O161" s="4">
        <v>3339</v>
      </c>
      <c r="P161" s="5">
        <v>39</v>
      </c>
    </row>
    <row r="162" spans="12:16" hidden="1" x14ac:dyDescent="0.3">
      <c r="L162" t="s">
        <v>5</v>
      </c>
      <c r="M162" t="s">
        <v>36</v>
      </c>
      <c r="O162" s="4">
        <v>3339</v>
      </c>
      <c r="P162" s="5">
        <v>348</v>
      </c>
    </row>
    <row r="163" spans="12:16" hidden="1" x14ac:dyDescent="0.3">
      <c r="L163" t="s">
        <v>7</v>
      </c>
      <c r="M163" t="s">
        <v>34</v>
      </c>
      <c r="O163" s="4">
        <v>3262</v>
      </c>
      <c r="P163" s="5">
        <v>75</v>
      </c>
    </row>
    <row r="164" spans="12:16" hidden="1" x14ac:dyDescent="0.3">
      <c r="L164" t="s">
        <v>9</v>
      </c>
      <c r="M164" t="s">
        <v>39</v>
      </c>
      <c r="O164" s="4">
        <v>3192</v>
      </c>
      <c r="P164" s="5">
        <v>72</v>
      </c>
    </row>
    <row r="165" spans="12:16" hidden="1" x14ac:dyDescent="0.3">
      <c r="L165" t="s">
        <v>40</v>
      </c>
      <c r="M165" t="s">
        <v>36</v>
      </c>
      <c r="O165" s="4">
        <v>3164</v>
      </c>
      <c r="P165" s="5">
        <v>306</v>
      </c>
    </row>
    <row r="166" spans="12:16" hidden="1" x14ac:dyDescent="0.3">
      <c r="L166" t="s">
        <v>3</v>
      </c>
      <c r="M166" t="s">
        <v>34</v>
      </c>
      <c r="O166" s="4">
        <v>3108</v>
      </c>
      <c r="P166" s="5">
        <v>54</v>
      </c>
    </row>
    <row r="167" spans="12:16" hidden="1" x14ac:dyDescent="0.3">
      <c r="L167" t="s">
        <v>40</v>
      </c>
      <c r="M167" t="s">
        <v>39</v>
      </c>
      <c r="O167" s="4">
        <v>3101</v>
      </c>
      <c r="P167" s="5">
        <v>225</v>
      </c>
    </row>
    <row r="168" spans="12:16" hidden="1" x14ac:dyDescent="0.3">
      <c r="L168" t="s">
        <v>2</v>
      </c>
      <c r="M168" t="s">
        <v>36</v>
      </c>
      <c r="O168" s="4">
        <v>3094</v>
      </c>
      <c r="P168" s="5">
        <v>246</v>
      </c>
    </row>
    <row r="169" spans="12:16" hidden="1" x14ac:dyDescent="0.3">
      <c r="L169" t="s">
        <v>10</v>
      </c>
      <c r="M169" t="s">
        <v>37</v>
      </c>
      <c r="O169" s="4">
        <v>3059</v>
      </c>
      <c r="P169" s="5">
        <v>27</v>
      </c>
    </row>
    <row r="170" spans="12:16" hidden="1" x14ac:dyDescent="0.3">
      <c r="L170" t="s">
        <v>6</v>
      </c>
      <c r="M170" t="s">
        <v>39</v>
      </c>
      <c r="O170" s="4">
        <v>3052</v>
      </c>
      <c r="P170" s="5">
        <v>378</v>
      </c>
    </row>
    <row r="171" spans="12:16" hidden="1" x14ac:dyDescent="0.3">
      <c r="L171" t="s">
        <v>6</v>
      </c>
      <c r="M171" t="s">
        <v>39</v>
      </c>
      <c r="O171" s="4">
        <v>2989</v>
      </c>
      <c r="P171" s="5">
        <v>3</v>
      </c>
    </row>
    <row r="172" spans="12:16" hidden="1" x14ac:dyDescent="0.3">
      <c r="L172" t="s">
        <v>9</v>
      </c>
      <c r="M172" t="s">
        <v>36</v>
      </c>
      <c r="O172" s="4">
        <v>2954</v>
      </c>
      <c r="P172" s="5">
        <v>189</v>
      </c>
    </row>
    <row r="173" spans="12:16" hidden="1" x14ac:dyDescent="0.3">
      <c r="L173" t="s">
        <v>41</v>
      </c>
      <c r="M173" t="s">
        <v>37</v>
      </c>
      <c r="O173" s="4">
        <v>2933</v>
      </c>
      <c r="P173" s="5">
        <v>9</v>
      </c>
    </row>
    <row r="174" spans="12:16" hidden="1" x14ac:dyDescent="0.3">
      <c r="L174" t="s">
        <v>9</v>
      </c>
      <c r="M174" t="s">
        <v>37</v>
      </c>
      <c r="O174" s="4">
        <v>2919</v>
      </c>
      <c r="P174" s="5">
        <v>45</v>
      </c>
    </row>
    <row r="175" spans="12:16" hidden="1" x14ac:dyDescent="0.3">
      <c r="L175" t="s">
        <v>3</v>
      </c>
      <c r="M175" t="s">
        <v>34</v>
      </c>
      <c r="O175" s="4">
        <v>2919</v>
      </c>
      <c r="P175" s="5">
        <v>93</v>
      </c>
    </row>
    <row r="176" spans="12:16" hidden="1" x14ac:dyDescent="0.3">
      <c r="L176" t="s">
        <v>5</v>
      </c>
      <c r="M176" t="s">
        <v>34</v>
      </c>
      <c r="O176" s="4">
        <v>2891</v>
      </c>
      <c r="P176" s="5">
        <v>102</v>
      </c>
    </row>
    <row r="177" spans="12:16" hidden="1" x14ac:dyDescent="0.3">
      <c r="L177" t="s">
        <v>7</v>
      </c>
      <c r="M177" t="s">
        <v>36</v>
      </c>
      <c r="O177" s="4">
        <v>2870</v>
      </c>
      <c r="P177" s="5">
        <v>300</v>
      </c>
    </row>
    <row r="178" spans="12:16" hidden="1" x14ac:dyDescent="0.3">
      <c r="L178" t="s">
        <v>2</v>
      </c>
      <c r="M178" t="s">
        <v>37</v>
      </c>
      <c r="O178" s="4">
        <v>2863</v>
      </c>
      <c r="P178" s="5">
        <v>42</v>
      </c>
    </row>
    <row r="179" spans="12:16" hidden="1" x14ac:dyDescent="0.3">
      <c r="L179" t="s">
        <v>9</v>
      </c>
      <c r="M179" t="s">
        <v>37</v>
      </c>
      <c r="O179" s="4">
        <v>2856</v>
      </c>
      <c r="P179" s="5">
        <v>246</v>
      </c>
    </row>
    <row r="180" spans="12:16" hidden="1" x14ac:dyDescent="0.3">
      <c r="L180" t="s">
        <v>7</v>
      </c>
      <c r="M180" t="s">
        <v>35</v>
      </c>
      <c r="O180" s="4">
        <v>2793</v>
      </c>
      <c r="P180" s="5">
        <v>114</v>
      </c>
    </row>
    <row r="181" spans="12:16" hidden="1" x14ac:dyDescent="0.3">
      <c r="L181" t="s">
        <v>40</v>
      </c>
      <c r="M181" t="s">
        <v>34</v>
      </c>
      <c r="O181" s="4">
        <v>2779</v>
      </c>
      <c r="P181" s="5">
        <v>75</v>
      </c>
    </row>
    <row r="182" spans="12:16" hidden="1" x14ac:dyDescent="0.3">
      <c r="L182" t="s">
        <v>5</v>
      </c>
      <c r="M182" t="s">
        <v>35</v>
      </c>
      <c r="O182" s="4">
        <v>2744</v>
      </c>
      <c r="P182" s="5">
        <v>9</v>
      </c>
    </row>
    <row r="183" spans="12:16" hidden="1" x14ac:dyDescent="0.3">
      <c r="L183" t="s">
        <v>9</v>
      </c>
      <c r="M183" t="s">
        <v>37</v>
      </c>
      <c r="O183" s="4">
        <v>2737</v>
      </c>
      <c r="P183" s="5">
        <v>93</v>
      </c>
    </row>
    <row r="184" spans="12:16" hidden="1" x14ac:dyDescent="0.3">
      <c r="L184" t="s">
        <v>8</v>
      </c>
      <c r="M184" t="s">
        <v>35</v>
      </c>
      <c r="O184" s="4">
        <v>2702</v>
      </c>
      <c r="P184" s="5">
        <v>363</v>
      </c>
    </row>
    <row r="185" spans="12:16" hidden="1" x14ac:dyDescent="0.3">
      <c r="L185" t="s">
        <v>6</v>
      </c>
      <c r="M185" t="s">
        <v>38</v>
      </c>
      <c r="O185" s="4">
        <v>2681</v>
      </c>
      <c r="P185" s="5">
        <v>54</v>
      </c>
    </row>
    <row r="186" spans="12:16" hidden="1" x14ac:dyDescent="0.3">
      <c r="L186" t="s">
        <v>9</v>
      </c>
      <c r="M186" t="s">
        <v>38</v>
      </c>
      <c r="O186" s="4">
        <v>2646</v>
      </c>
      <c r="P186" s="5">
        <v>120</v>
      </c>
    </row>
    <row r="187" spans="12:16" hidden="1" x14ac:dyDescent="0.3">
      <c r="L187" t="s">
        <v>7</v>
      </c>
      <c r="M187" t="s">
        <v>36</v>
      </c>
      <c r="O187" s="4">
        <v>2646</v>
      </c>
      <c r="P187" s="5">
        <v>177</v>
      </c>
    </row>
    <row r="188" spans="12:16" hidden="1" x14ac:dyDescent="0.3">
      <c r="L188" t="s">
        <v>9</v>
      </c>
      <c r="M188" t="s">
        <v>39</v>
      </c>
      <c r="O188" s="4">
        <v>2639</v>
      </c>
      <c r="P188" s="5">
        <v>204</v>
      </c>
    </row>
    <row r="189" spans="12:16" hidden="1" x14ac:dyDescent="0.3">
      <c r="L189" t="s">
        <v>3</v>
      </c>
      <c r="M189" t="s">
        <v>34</v>
      </c>
      <c r="O189" s="4">
        <v>2583</v>
      </c>
      <c r="P189" s="5">
        <v>18</v>
      </c>
    </row>
    <row r="190" spans="12:16" hidden="1" x14ac:dyDescent="0.3">
      <c r="L190" t="s">
        <v>10</v>
      </c>
      <c r="M190" t="s">
        <v>35</v>
      </c>
      <c r="O190" s="4">
        <v>2562</v>
      </c>
      <c r="P190" s="5">
        <v>6</v>
      </c>
    </row>
    <row r="191" spans="12:16" hidden="1" x14ac:dyDescent="0.3">
      <c r="L191" t="s">
        <v>40</v>
      </c>
      <c r="M191" t="s">
        <v>38</v>
      </c>
      <c r="O191" s="4">
        <v>2541</v>
      </c>
      <c r="P191" s="5">
        <v>90</v>
      </c>
    </row>
    <row r="192" spans="12:16" hidden="1" x14ac:dyDescent="0.3">
      <c r="L192" t="s">
        <v>40</v>
      </c>
      <c r="M192" t="s">
        <v>38</v>
      </c>
      <c r="O192" s="4">
        <v>2541</v>
      </c>
      <c r="P192" s="5">
        <v>45</v>
      </c>
    </row>
    <row r="193" spans="12:16" hidden="1" x14ac:dyDescent="0.3">
      <c r="L193" t="s">
        <v>7</v>
      </c>
      <c r="M193" t="s">
        <v>35</v>
      </c>
      <c r="O193" s="4">
        <v>2478</v>
      </c>
      <c r="P193" s="5">
        <v>21</v>
      </c>
    </row>
    <row r="194" spans="12:16" hidden="1" x14ac:dyDescent="0.3">
      <c r="L194" t="s">
        <v>10</v>
      </c>
      <c r="M194" t="s">
        <v>36</v>
      </c>
      <c r="O194" s="4">
        <v>2471</v>
      </c>
      <c r="P194" s="5">
        <v>342</v>
      </c>
    </row>
    <row r="195" spans="12:16" hidden="1" x14ac:dyDescent="0.3">
      <c r="L195" t="s">
        <v>3</v>
      </c>
      <c r="M195" t="s">
        <v>35</v>
      </c>
      <c r="O195" s="4">
        <v>2464</v>
      </c>
      <c r="P195" s="5">
        <v>234</v>
      </c>
    </row>
    <row r="196" spans="12:16" hidden="1" x14ac:dyDescent="0.3">
      <c r="L196" t="s">
        <v>9</v>
      </c>
      <c r="M196" t="s">
        <v>38</v>
      </c>
      <c r="O196" s="4">
        <v>2436</v>
      </c>
      <c r="P196" s="5">
        <v>99</v>
      </c>
    </row>
    <row r="197" spans="12:16" hidden="1" x14ac:dyDescent="0.3">
      <c r="L197" t="s">
        <v>9</v>
      </c>
      <c r="M197" t="s">
        <v>35</v>
      </c>
      <c r="O197" s="4">
        <v>2429</v>
      </c>
      <c r="P197" s="5">
        <v>144</v>
      </c>
    </row>
    <row r="198" spans="12:16" hidden="1" x14ac:dyDescent="0.3">
      <c r="L198" t="s">
        <v>3</v>
      </c>
      <c r="M198" t="s">
        <v>35</v>
      </c>
      <c r="O198" s="4">
        <v>2415</v>
      </c>
      <c r="P198" s="5">
        <v>255</v>
      </c>
    </row>
    <row r="199" spans="12:16" hidden="1" x14ac:dyDescent="0.3">
      <c r="L199" t="s">
        <v>5</v>
      </c>
      <c r="M199" t="s">
        <v>35</v>
      </c>
      <c r="O199" s="4">
        <v>2415</v>
      </c>
      <c r="P199" s="5">
        <v>15</v>
      </c>
    </row>
    <row r="200" spans="12:16" hidden="1" x14ac:dyDescent="0.3">
      <c r="L200" t="s">
        <v>9</v>
      </c>
      <c r="M200" t="s">
        <v>38</v>
      </c>
      <c r="O200" s="4">
        <v>2408</v>
      </c>
      <c r="P200" s="5">
        <v>9</v>
      </c>
    </row>
    <row r="201" spans="12:16" hidden="1" x14ac:dyDescent="0.3">
      <c r="L201" t="s">
        <v>41</v>
      </c>
      <c r="M201" t="s">
        <v>37</v>
      </c>
      <c r="O201" s="4">
        <v>2324</v>
      </c>
      <c r="P201" s="5">
        <v>177</v>
      </c>
    </row>
    <row r="202" spans="12:16" hidden="1" x14ac:dyDescent="0.3">
      <c r="L202" t="s">
        <v>10</v>
      </c>
      <c r="M202" t="s">
        <v>36</v>
      </c>
      <c r="O202" s="4">
        <v>2317</v>
      </c>
      <c r="P202" s="5">
        <v>261</v>
      </c>
    </row>
    <row r="203" spans="12:16" hidden="1" x14ac:dyDescent="0.3">
      <c r="L203" t="s">
        <v>6</v>
      </c>
      <c r="M203" t="s">
        <v>38</v>
      </c>
      <c r="O203" s="4">
        <v>2317</v>
      </c>
      <c r="P203" s="5">
        <v>123</v>
      </c>
    </row>
    <row r="204" spans="12:16" hidden="1" x14ac:dyDescent="0.3">
      <c r="L204" t="s">
        <v>40</v>
      </c>
      <c r="M204" t="s">
        <v>34</v>
      </c>
      <c r="O204" s="4">
        <v>2289</v>
      </c>
      <c r="P204" s="5">
        <v>135</v>
      </c>
    </row>
    <row r="205" spans="12:16" hidden="1" x14ac:dyDescent="0.3">
      <c r="L205" t="s">
        <v>40</v>
      </c>
      <c r="M205" t="s">
        <v>35</v>
      </c>
      <c r="O205" s="4">
        <v>2275</v>
      </c>
      <c r="P205" s="5">
        <v>447</v>
      </c>
    </row>
    <row r="206" spans="12:16" hidden="1" x14ac:dyDescent="0.3">
      <c r="L206" t="s">
        <v>8</v>
      </c>
      <c r="M206" t="s">
        <v>38</v>
      </c>
      <c r="O206" s="4">
        <v>2268</v>
      </c>
      <c r="P206" s="5">
        <v>63</v>
      </c>
    </row>
    <row r="207" spans="12:16" hidden="1" x14ac:dyDescent="0.3">
      <c r="L207" t="s">
        <v>7</v>
      </c>
      <c r="M207" t="s">
        <v>34</v>
      </c>
      <c r="O207" s="4">
        <v>2226</v>
      </c>
      <c r="P207" s="5">
        <v>48</v>
      </c>
    </row>
    <row r="208" spans="12:16" hidden="1" x14ac:dyDescent="0.3">
      <c r="L208" t="s">
        <v>6</v>
      </c>
      <c r="M208" t="s">
        <v>34</v>
      </c>
      <c r="O208" s="4">
        <v>2219</v>
      </c>
      <c r="P208" s="5">
        <v>75</v>
      </c>
    </row>
    <row r="209" spans="12:16" hidden="1" x14ac:dyDescent="0.3">
      <c r="L209" t="s">
        <v>3</v>
      </c>
      <c r="M209" t="s">
        <v>34</v>
      </c>
      <c r="O209" s="4">
        <v>2212</v>
      </c>
      <c r="P209" s="5">
        <v>117</v>
      </c>
    </row>
    <row r="210" spans="12:16" hidden="1" x14ac:dyDescent="0.3">
      <c r="L210" t="s">
        <v>10</v>
      </c>
      <c r="M210" t="s">
        <v>38</v>
      </c>
      <c r="O210" s="4">
        <v>2205</v>
      </c>
      <c r="P210" s="5">
        <v>141</v>
      </c>
    </row>
    <row r="211" spans="12:16" hidden="1" x14ac:dyDescent="0.3">
      <c r="L211" t="s">
        <v>7</v>
      </c>
      <c r="M211" t="s">
        <v>34</v>
      </c>
      <c r="O211" s="4">
        <v>2205</v>
      </c>
      <c r="P211" s="5">
        <v>138</v>
      </c>
    </row>
    <row r="212" spans="12:16" hidden="1" x14ac:dyDescent="0.3">
      <c r="L212" t="s">
        <v>7</v>
      </c>
      <c r="M212" t="s">
        <v>36</v>
      </c>
      <c r="O212" s="4">
        <v>2149</v>
      </c>
      <c r="P212" s="5">
        <v>117</v>
      </c>
    </row>
    <row r="213" spans="12:16" hidden="1" x14ac:dyDescent="0.3">
      <c r="L213" t="s">
        <v>9</v>
      </c>
      <c r="M213" t="s">
        <v>36</v>
      </c>
      <c r="O213" s="4">
        <v>2142</v>
      </c>
      <c r="P213" s="5">
        <v>114</v>
      </c>
    </row>
    <row r="214" spans="12:16" hidden="1" x14ac:dyDescent="0.3">
      <c r="L214" t="s">
        <v>7</v>
      </c>
      <c r="M214" t="s">
        <v>35</v>
      </c>
      <c r="O214" s="4">
        <v>2135</v>
      </c>
      <c r="P214" s="5">
        <v>27</v>
      </c>
    </row>
    <row r="215" spans="12:16" hidden="1" x14ac:dyDescent="0.3">
      <c r="L215" t="s">
        <v>3</v>
      </c>
      <c r="M215" t="s">
        <v>35</v>
      </c>
      <c r="O215" s="4">
        <v>2114</v>
      </c>
      <c r="P215" s="5">
        <v>66</v>
      </c>
    </row>
    <row r="216" spans="12:16" hidden="1" x14ac:dyDescent="0.3">
      <c r="L216" t="s">
        <v>41</v>
      </c>
      <c r="M216" t="s">
        <v>35</v>
      </c>
      <c r="O216" s="4">
        <v>2114</v>
      </c>
      <c r="P216" s="5">
        <v>186</v>
      </c>
    </row>
    <row r="217" spans="12:16" hidden="1" x14ac:dyDescent="0.3">
      <c r="L217" t="s">
        <v>6</v>
      </c>
      <c r="M217" t="s">
        <v>39</v>
      </c>
      <c r="O217" s="4">
        <v>2100</v>
      </c>
      <c r="P217" s="5">
        <v>414</v>
      </c>
    </row>
    <row r="218" spans="12:16" hidden="1" x14ac:dyDescent="0.3">
      <c r="L218" t="s">
        <v>8</v>
      </c>
      <c r="M218" t="s">
        <v>35</v>
      </c>
      <c r="O218" s="4">
        <v>2023</v>
      </c>
      <c r="P218" s="5">
        <v>168</v>
      </c>
    </row>
    <row r="219" spans="12:16" hidden="1" x14ac:dyDescent="0.3">
      <c r="L219" t="s">
        <v>3</v>
      </c>
      <c r="M219" t="s">
        <v>35</v>
      </c>
      <c r="O219" s="4">
        <v>2023</v>
      </c>
      <c r="P219" s="5">
        <v>78</v>
      </c>
    </row>
    <row r="220" spans="12:16" hidden="1" x14ac:dyDescent="0.3">
      <c r="L220" t="s">
        <v>2</v>
      </c>
      <c r="M220" t="s">
        <v>39</v>
      </c>
      <c r="O220" s="4">
        <v>2016</v>
      </c>
      <c r="P220" s="5">
        <v>117</v>
      </c>
    </row>
    <row r="221" spans="12:16" hidden="1" x14ac:dyDescent="0.3">
      <c r="L221" t="s">
        <v>8</v>
      </c>
      <c r="M221" t="s">
        <v>34</v>
      </c>
      <c r="O221" s="4">
        <v>2009</v>
      </c>
      <c r="P221" s="5">
        <v>219</v>
      </c>
    </row>
    <row r="222" spans="12:16" hidden="1" x14ac:dyDescent="0.3">
      <c r="L222" t="s">
        <v>40</v>
      </c>
      <c r="M222" t="s">
        <v>38</v>
      </c>
      <c r="O222" s="4">
        <v>1988</v>
      </c>
      <c r="P222" s="5">
        <v>39</v>
      </c>
    </row>
    <row r="223" spans="12:16" hidden="1" x14ac:dyDescent="0.3">
      <c r="L223" t="s">
        <v>10</v>
      </c>
      <c r="M223" t="s">
        <v>35</v>
      </c>
      <c r="O223" s="4">
        <v>1974</v>
      </c>
      <c r="P223" s="5">
        <v>195</v>
      </c>
    </row>
    <row r="224" spans="12:16" hidden="1" x14ac:dyDescent="0.3">
      <c r="L224" t="s">
        <v>7</v>
      </c>
      <c r="M224" t="s">
        <v>34</v>
      </c>
      <c r="O224" s="4">
        <v>1932</v>
      </c>
      <c r="P224" s="5">
        <v>369</v>
      </c>
    </row>
    <row r="225" spans="12:16" hidden="1" x14ac:dyDescent="0.3">
      <c r="L225" t="s">
        <v>41</v>
      </c>
      <c r="M225" t="s">
        <v>36</v>
      </c>
      <c r="O225" s="4">
        <v>1925</v>
      </c>
      <c r="P225" s="5">
        <v>192</v>
      </c>
    </row>
    <row r="226" spans="12:16" hidden="1" x14ac:dyDescent="0.3">
      <c r="L226" t="s">
        <v>6</v>
      </c>
      <c r="M226" t="s">
        <v>37</v>
      </c>
      <c r="O226" s="4">
        <v>1904</v>
      </c>
      <c r="P226" s="5">
        <v>405</v>
      </c>
    </row>
    <row r="227" spans="12:16" hidden="1" x14ac:dyDescent="0.3">
      <c r="L227" t="s">
        <v>8</v>
      </c>
      <c r="M227" t="s">
        <v>37</v>
      </c>
      <c r="O227" s="4">
        <v>1890</v>
      </c>
      <c r="P227" s="5">
        <v>195</v>
      </c>
    </row>
    <row r="228" spans="12:16" hidden="1" x14ac:dyDescent="0.3">
      <c r="L228" t="s">
        <v>2</v>
      </c>
      <c r="M228" t="s">
        <v>39</v>
      </c>
      <c r="O228" s="4">
        <v>1785</v>
      </c>
      <c r="P228" s="5">
        <v>462</v>
      </c>
    </row>
    <row r="229" spans="12:16" hidden="1" x14ac:dyDescent="0.3">
      <c r="L229" t="s">
        <v>7</v>
      </c>
      <c r="M229" t="s">
        <v>38</v>
      </c>
      <c r="O229" s="4">
        <v>1778</v>
      </c>
      <c r="P229" s="5">
        <v>270</v>
      </c>
    </row>
    <row r="230" spans="12:16" hidden="1" x14ac:dyDescent="0.3">
      <c r="L230" t="s">
        <v>8</v>
      </c>
      <c r="M230" t="s">
        <v>37</v>
      </c>
      <c r="O230" s="4">
        <v>1771</v>
      </c>
      <c r="P230" s="5">
        <v>204</v>
      </c>
    </row>
    <row r="231" spans="12:16" hidden="1" x14ac:dyDescent="0.3">
      <c r="L231" t="s">
        <v>8</v>
      </c>
      <c r="M231" t="s">
        <v>38</v>
      </c>
      <c r="O231" s="4">
        <v>1701</v>
      </c>
      <c r="P231" s="5">
        <v>234</v>
      </c>
    </row>
    <row r="232" spans="12:16" hidden="1" x14ac:dyDescent="0.3">
      <c r="L232" t="s">
        <v>5</v>
      </c>
      <c r="M232" t="s">
        <v>34</v>
      </c>
      <c r="O232" s="4">
        <v>1652</v>
      </c>
      <c r="P232" s="5">
        <v>93</v>
      </c>
    </row>
    <row r="233" spans="12:16" hidden="1" x14ac:dyDescent="0.3">
      <c r="L233" t="s">
        <v>3</v>
      </c>
      <c r="M233" t="s">
        <v>39</v>
      </c>
      <c r="O233" s="4">
        <v>1652</v>
      </c>
      <c r="P233" s="5">
        <v>102</v>
      </c>
    </row>
    <row r="234" spans="12:16" hidden="1" x14ac:dyDescent="0.3">
      <c r="L234" t="s">
        <v>6</v>
      </c>
      <c r="M234" t="s">
        <v>39</v>
      </c>
      <c r="O234" s="4">
        <v>1638</v>
      </c>
      <c r="P234" s="5">
        <v>63</v>
      </c>
    </row>
    <row r="235" spans="12:16" hidden="1" x14ac:dyDescent="0.3">
      <c r="L235" t="s">
        <v>40</v>
      </c>
      <c r="M235" t="s">
        <v>35</v>
      </c>
      <c r="O235" s="4">
        <v>1638</v>
      </c>
      <c r="P235" s="5">
        <v>48</v>
      </c>
    </row>
    <row r="236" spans="12:16" hidden="1" x14ac:dyDescent="0.3">
      <c r="L236" t="s">
        <v>40</v>
      </c>
      <c r="M236" t="s">
        <v>37</v>
      </c>
      <c r="O236" s="4">
        <v>1624</v>
      </c>
      <c r="P236" s="5">
        <v>114</v>
      </c>
    </row>
    <row r="237" spans="12:16" hidden="1" x14ac:dyDescent="0.3">
      <c r="L237" t="s">
        <v>40</v>
      </c>
      <c r="M237" t="s">
        <v>35</v>
      </c>
      <c r="O237" s="4">
        <v>1617</v>
      </c>
      <c r="P237" s="5">
        <v>126</v>
      </c>
    </row>
    <row r="238" spans="12:16" hidden="1" x14ac:dyDescent="0.3">
      <c r="L238" t="s">
        <v>2</v>
      </c>
      <c r="M238" t="s">
        <v>35</v>
      </c>
      <c r="O238" s="4">
        <v>1589</v>
      </c>
      <c r="P238" s="5">
        <v>303</v>
      </c>
    </row>
    <row r="239" spans="12:16" hidden="1" x14ac:dyDescent="0.3">
      <c r="L239" t="s">
        <v>7</v>
      </c>
      <c r="M239" t="s">
        <v>34</v>
      </c>
      <c r="O239" s="4">
        <v>1568</v>
      </c>
      <c r="P239" s="5">
        <v>96</v>
      </c>
    </row>
    <row r="240" spans="12:16" hidden="1" x14ac:dyDescent="0.3">
      <c r="L240" t="s">
        <v>2</v>
      </c>
      <c r="M240" t="s">
        <v>39</v>
      </c>
      <c r="O240" s="4">
        <v>1568</v>
      </c>
      <c r="P240" s="5">
        <v>141</v>
      </c>
    </row>
    <row r="241" spans="12:16" hidden="1" x14ac:dyDescent="0.3">
      <c r="L241" t="s">
        <v>8</v>
      </c>
      <c r="M241" t="s">
        <v>39</v>
      </c>
      <c r="O241" s="4">
        <v>1561</v>
      </c>
      <c r="P241" s="5">
        <v>27</v>
      </c>
    </row>
    <row r="242" spans="12:16" hidden="1" x14ac:dyDescent="0.3">
      <c r="L242" t="s">
        <v>41</v>
      </c>
      <c r="M242" t="s">
        <v>37</v>
      </c>
      <c r="O242" s="4">
        <v>1526</v>
      </c>
      <c r="P242" s="5">
        <v>240</v>
      </c>
    </row>
    <row r="243" spans="12:16" hidden="1" x14ac:dyDescent="0.3">
      <c r="L243" t="s">
        <v>5</v>
      </c>
      <c r="M243" t="s">
        <v>36</v>
      </c>
      <c r="O243" s="4">
        <v>1526</v>
      </c>
      <c r="P243" s="5">
        <v>105</v>
      </c>
    </row>
    <row r="244" spans="12:16" hidden="1" x14ac:dyDescent="0.3">
      <c r="L244" t="s">
        <v>6</v>
      </c>
      <c r="M244" t="s">
        <v>37</v>
      </c>
      <c r="O244" s="4">
        <v>1505</v>
      </c>
      <c r="P244" s="5">
        <v>102</v>
      </c>
    </row>
    <row r="245" spans="12:16" hidden="1" x14ac:dyDescent="0.3">
      <c r="L245" t="s">
        <v>41</v>
      </c>
      <c r="M245" t="s">
        <v>34</v>
      </c>
      <c r="O245" s="4">
        <v>1463</v>
      </c>
      <c r="P245" s="5">
        <v>39</v>
      </c>
    </row>
    <row r="246" spans="12:16" hidden="1" x14ac:dyDescent="0.3">
      <c r="L246" t="s">
        <v>6</v>
      </c>
      <c r="M246" t="s">
        <v>34</v>
      </c>
      <c r="O246" s="4">
        <v>1442</v>
      </c>
      <c r="P246" s="5">
        <v>15</v>
      </c>
    </row>
    <row r="247" spans="12:16" hidden="1" x14ac:dyDescent="0.3">
      <c r="L247" t="s">
        <v>10</v>
      </c>
      <c r="M247" t="s">
        <v>34</v>
      </c>
      <c r="O247" s="4">
        <v>1428</v>
      </c>
      <c r="P247" s="5">
        <v>93</v>
      </c>
    </row>
    <row r="248" spans="12:16" hidden="1" x14ac:dyDescent="0.3">
      <c r="L248" t="s">
        <v>10</v>
      </c>
      <c r="M248" t="s">
        <v>36</v>
      </c>
      <c r="O248" s="4">
        <v>1407</v>
      </c>
      <c r="P248" s="5">
        <v>72</v>
      </c>
    </row>
    <row r="249" spans="12:16" hidden="1" x14ac:dyDescent="0.3">
      <c r="L249" t="s">
        <v>6</v>
      </c>
      <c r="M249" t="s">
        <v>36</v>
      </c>
      <c r="O249" s="4">
        <v>1400</v>
      </c>
      <c r="P249" s="5">
        <v>135</v>
      </c>
    </row>
    <row r="250" spans="12:16" hidden="1" x14ac:dyDescent="0.3">
      <c r="L250" t="s">
        <v>6</v>
      </c>
      <c r="M250" t="s">
        <v>35</v>
      </c>
      <c r="O250" s="4">
        <v>1302</v>
      </c>
      <c r="P250" s="5">
        <v>402</v>
      </c>
    </row>
    <row r="251" spans="12:16" hidden="1" x14ac:dyDescent="0.3">
      <c r="L251" t="s">
        <v>7</v>
      </c>
      <c r="M251" t="s">
        <v>38</v>
      </c>
      <c r="O251" s="4">
        <v>1281</v>
      </c>
      <c r="P251" s="5">
        <v>75</v>
      </c>
    </row>
    <row r="252" spans="12:16" hidden="1" x14ac:dyDescent="0.3">
      <c r="L252" t="s">
        <v>3</v>
      </c>
      <c r="M252" t="s">
        <v>36</v>
      </c>
      <c r="O252" s="4">
        <v>1281</v>
      </c>
      <c r="P252" s="5">
        <v>18</v>
      </c>
    </row>
    <row r="253" spans="12:16" hidden="1" x14ac:dyDescent="0.3">
      <c r="L253" t="s">
        <v>41</v>
      </c>
      <c r="M253" t="s">
        <v>34</v>
      </c>
      <c r="O253" s="4">
        <v>1274</v>
      </c>
      <c r="P253" s="5">
        <v>225</v>
      </c>
    </row>
    <row r="254" spans="12:16" hidden="1" x14ac:dyDescent="0.3">
      <c r="L254" t="s">
        <v>6</v>
      </c>
      <c r="M254" t="s">
        <v>38</v>
      </c>
      <c r="O254" s="4">
        <v>1134</v>
      </c>
      <c r="P254" s="5">
        <v>282</v>
      </c>
    </row>
    <row r="255" spans="12:16" hidden="1" x14ac:dyDescent="0.3">
      <c r="L255" t="s">
        <v>9</v>
      </c>
      <c r="M255" t="s">
        <v>37</v>
      </c>
      <c r="O255" s="4">
        <v>1085</v>
      </c>
      <c r="P255" s="5">
        <v>273</v>
      </c>
    </row>
    <row r="256" spans="12:16" hidden="1" x14ac:dyDescent="0.3">
      <c r="L256" t="s">
        <v>6</v>
      </c>
      <c r="M256" t="s">
        <v>35</v>
      </c>
      <c r="O256" s="4">
        <v>1071</v>
      </c>
      <c r="P256" s="5">
        <v>270</v>
      </c>
    </row>
    <row r="257" spans="12:16" hidden="1" x14ac:dyDescent="0.3">
      <c r="L257" t="s">
        <v>2</v>
      </c>
      <c r="M257" t="s">
        <v>37</v>
      </c>
      <c r="O257" s="4">
        <v>1057</v>
      </c>
      <c r="P257" s="5">
        <v>54</v>
      </c>
    </row>
    <row r="258" spans="12:16" hidden="1" x14ac:dyDescent="0.3">
      <c r="L258" t="s">
        <v>3</v>
      </c>
      <c r="M258" t="s">
        <v>36</v>
      </c>
      <c r="O258" s="4">
        <v>973</v>
      </c>
      <c r="P258" s="5">
        <v>162</v>
      </c>
    </row>
    <row r="259" spans="12:16" hidden="1" x14ac:dyDescent="0.3">
      <c r="L259" t="s">
        <v>7</v>
      </c>
      <c r="M259" t="s">
        <v>39</v>
      </c>
      <c r="O259" s="4">
        <v>966</v>
      </c>
      <c r="P259" s="5">
        <v>198</v>
      </c>
    </row>
    <row r="260" spans="12:16" hidden="1" x14ac:dyDescent="0.3">
      <c r="L260" t="s">
        <v>9</v>
      </c>
      <c r="M260" t="s">
        <v>35</v>
      </c>
      <c r="O260" s="4">
        <v>959</v>
      </c>
      <c r="P260" s="5">
        <v>147</v>
      </c>
    </row>
    <row r="261" spans="12:16" hidden="1" x14ac:dyDescent="0.3">
      <c r="L261" t="s">
        <v>6</v>
      </c>
      <c r="M261" t="s">
        <v>38</v>
      </c>
      <c r="O261" s="4">
        <v>959</v>
      </c>
      <c r="P261" s="5">
        <v>135</v>
      </c>
    </row>
    <row r="262" spans="12:16" hidden="1" x14ac:dyDescent="0.3">
      <c r="L262" t="s">
        <v>10</v>
      </c>
      <c r="M262" t="s">
        <v>36</v>
      </c>
      <c r="O262" s="4">
        <v>945</v>
      </c>
      <c r="P262" s="5">
        <v>75</v>
      </c>
    </row>
    <row r="263" spans="12:16" hidden="1" x14ac:dyDescent="0.3">
      <c r="L263" t="s">
        <v>6</v>
      </c>
      <c r="M263" t="s">
        <v>38</v>
      </c>
      <c r="O263" s="4">
        <v>938</v>
      </c>
      <c r="P263" s="5">
        <v>6</v>
      </c>
    </row>
    <row r="264" spans="12:16" hidden="1" x14ac:dyDescent="0.3">
      <c r="L264" t="s">
        <v>9</v>
      </c>
      <c r="M264" t="s">
        <v>34</v>
      </c>
      <c r="O264" s="4">
        <v>938</v>
      </c>
      <c r="P264" s="5">
        <v>189</v>
      </c>
    </row>
    <row r="265" spans="12:16" hidden="1" x14ac:dyDescent="0.3">
      <c r="L265" t="s">
        <v>3</v>
      </c>
      <c r="M265" t="s">
        <v>37</v>
      </c>
      <c r="O265" s="4">
        <v>938</v>
      </c>
      <c r="P265" s="5">
        <v>366</v>
      </c>
    </row>
    <row r="266" spans="12:16" hidden="1" x14ac:dyDescent="0.3">
      <c r="L266" t="s">
        <v>5</v>
      </c>
      <c r="M266" t="s">
        <v>34</v>
      </c>
      <c r="O266" s="4">
        <v>861</v>
      </c>
      <c r="P266" s="5">
        <v>195</v>
      </c>
    </row>
    <row r="267" spans="12:16" hidden="1" x14ac:dyDescent="0.3">
      <c r="L267" t="s">
        <v>41</v>
      </c>
      <c r="M267" t="s">
        <v>36</v>
      </c>
      <c r="O267" s="4">
        <v>854</v>
      </c>
      <c r="P267" s="5">
        <v>309</v>
      </c>
    </row>
    <row r="268" spans="12:16" hidden="1" x14ac:dyDescent="0.3">
      <c r="L268" t="s">
        <v>41</v>
      </c>
      <c r="M268" t="s">
        <v>35</v>
      </c>
      <c r="O268" s="4">
        <v>847</v>
      </c>
      <c r="P268" s="5">
        <v>129</v>
      </c>
    </row>
    <row r="269" spans="12:16" hidden="1" x14ac:dyDescent="0.3">
      <c r="L269" t="s">
        <v>8</v>
      </c>
      <c r="M269" t="s">
        <v>38</v>
      </c>
      <c r="O269" s="4">
        <v>819</v>
      </c>
      <c r="P269" s="5">
        <v>510</v>
      </c>
    </row>
    <row r="270" spans="12:16" hidden="1" x14ac:dyDescent="0.3">
      <c r="L270" t="s">
        <v>3</v>
      </c>
      <c r="M270" t="s">
        <v>35</v>
      </c>
      <c r="O270" s="4">
        <v>819</v>
      </c>
      <c r="P270" s="5">
        <v>306</v>
      </c>
    </row>
    <row r="271" spans="12:16" hidden="1" x14ac:dyDescent="0.3">
      <c r="L271" t="s">
        <v>2</v>
      </c>
      <c r="M271" t="s">
        <v>36</v>
      </c>
      <c r="O271" s="4">
        <v>798</v>
      </c>
      <c r="P271" s="5">
        <v>519</v>
      </c>
    </row>
    <row r="272" spans="12:16" hidden="1" x14ac:dyDescent="0.3">
      <c r="L272" t="s">
        <v>41</v>
      </c>
      <c r="M272" t="s">
        <v>37</v>
      </c>
      <c r="O272" s="4">
        <v>714</v>
      </c>
      <c r="P272" s="5">
        <v>231</v>
      </c>
    </row>
    <row r="273" spans="12:16" hidden="1" x14ac:dyDescent="0.3">
      <c r="L273" t="s">
        <v>9</v>
      </c>
      <c r="M273" t="s">
        <v>34</v>
      </c>
      <c r="O273" s="4">
        <v>707</v>
      </c>
      <c r="P273" s="5">
        <v>174</v>
      </c>
    </row>
    <row r="274" spans="12:16" hidden="1" x14ac:dyDescent="0.3">
      <c r="L274" t="s">
        <v>10</v>
      </c>
      <c r="M274" t="s">
        <v>34</v>
      </c>
      <c r="O274" s="4">
        <v>700</v>
      </c>
      <c r="P274" s="5">
        <v>87</v>
      </c>
    </row>
    <row r="275" spans="12:16" hidden="1" x14ac:dyDescent="0.3">
      <c r="L275" t="s">
        <v>2</v>
      </c>
      <c r="M275" t="s">
        <v>39</v>
      </c>
      <c r="O275" s="4">
        <v>630</v>
      </c>
      <c r="P275" s="5">
        <v>36</v>
      </c>
    </row>
    <row r="276" spans="12:16" hidden="1" x14ac:dyDescent="0.3">
      <c r="L276" t="s">
        <v>40</v>
      </c>
      <c r="M276" t="s">
        <v>38</v>
      </c>
      <c r="O276" s="4">
        <v>623</v>
      </c>
      <c r="P276" s="5">
        <v>51</v>
      </c>
    </row>
    <row r="277" spans="12:16" hidden="1" x14ac:dyDescent="0.3">
      <c r="L277" t="s">
        <v>40</v>
      </c>
      <c r="M277" t="s">
        <v>38</v>
      </c>
      <c r="O277" s="4">
        <v>609</v>
      </c>
      <c r="P277" s="5">
        <v>87</v>
      </c>
    </row>
    <row r="278" spans="12:16" hidden="1" x14ac:dyDescent="0.3">
      <c r="L278" t="s">
        <v>41</v>
      </c>
      <c r="M278" t="s">
        <v>35</v>
      </c>
      <c r="O278" s="4">
        <v>609</v>
      </c>
      <c r="P278" s="5">
        <v>99</v>
      </c>
    </row>
    <row r="279" spans="12:16" hidden="1" x14ac:dyDescent="0.3">
      <c r="L279" t="s">
        <v>10</v>
      </c>
      <c r="M279" t="s">
        <v>35</v>
      </c>
      <c r="O279" s="4">
        <v>567</v>
      </c>
      <c r="P279" s="5">
        <v>228</v>
      </c>
    </row>
    <row r="280" spans="12:16" hidden="1" x14ac:dyDescent="0.3">
      <c r="L280" t="s">
        <v>6</v>
      </c>
      <c r="M280" t="s">
        <v>37</v>
      </c>
      <c r="O280" s="4">
        <v>560</v>
      </c>
      <c r="P280" s="5">
        <v>81</v>
      </c>
    </row>
    <row r="281" spans="12:16" hidden="1" x14ac:dyDescent="0.3">
      <c r="L281" t="s">
        <v>2</v>
      </c>
      <c r="M281" t="s">
        <v>35</v>
      </c>
      <c r="O281" s="4">
        <v>553</v>
      </c>
      <c r="P281" s="5">
        <v>15</v>
      </c>
    </row>
    <row r="282" spans="12:16" hidden="1" x14ac:dyDescent="0.3">
      <c r="L282" t="s">
        <v>6</v>
      </c>
      <c r="M282" t="s">
        <v>34</v>
      </c>
      <c r="O282" s="4">
        <v>525</v>
      </c>
      <c r="P282" s="5">
        <v>48</v>
      </c>
    </row>
    <row r="283" spans="12:16" hidden="1" x14ac:dyDescent="0.3">
      <c r="L283" t="s">
        <v>5</v>
      </c>
      <c r="M283" t="s">
        <v>37</v>
      </c>
      <c r="O283" s="4">
        <v>518</v>
      </c>
      <c r="P283" s="5">
        <v>75</v>
      </c>
    </row>
    <row r="284" spans="12:16" hidden="1" x14ac:dyDescent="0.3">
      <c r="L284" t="s">
        <v>6</v>
      </c>
      <c r="M284" t="s">
        <v>36</v>
      </c>
      <c r="O284" s="4">
        <v>497</v>
      </c>
      <c r="P284" s="5">
        <v>63</v>
      </c>
    </row>
    <row r="285" spans="12:16" hidden="1" x14ac:dyDescent="0.3">
      <c r="L285" t="s">
        <v>5</v>
      </c>
      <c r="M285" t="s">
        <v>35</v>
      </c>
      <c r="O285" s="4">
        <v>490</v>
      </c>
      <c r="P285" s="5">
        <v>84</v>
      </c>
    </row>
    <row r="286" spans="12:16" hidden="1" x14ac:dyDescent="0.3">
      <c r="L286" t="s">
        <v>6</v>
      </c>
      <c r="M286" t="s">
        <v>38</v>
      </c>
      <c r="O286" s="4">
        <v>469</v>
      </c>
      <c r="P286" s="5">
        <v>75</v>
      </c>
    </row>
    <row r="287" spans="12:16" hidden="1" x14ac:dyDescent="0.3">
      <c r="L287" t="s">
        <v>8</v>
      </c>
      <c r="M287" t="s">
        <v>37</v>
      </c>
      <c r="O287" s="4">
        <v>434</v>
      </c>
      <c r="P287" s="5">
        <v>87</v>
      </c>
    </row>
    <row r="288" spans="12:16" hidden="1" x14ac:dyDescent="0.3">
      <c r="L288" t="s">
        <v>5</v>
      </c>
      <c r="M288" t="s">
        <v>39</v>
      </c>
      <c r="O288" s="4">
        <v>385</v>
      </c>
      <c r="P288" s="5">
        <v>249</v>
      </c>
    </row>
    <row r="289" spans="12:16" hidden="1" x14ac:dyDescent="0.3">
      <c r="L289" t="s">
        <v>8</v>
      </c>
      <c r="M289" t="s">
        <v>35</v>
      </c>
      <c r="O289" s="4">
        <v>357</v>
      </c>
      <c r="P289" s="5">
        <v>126</v>
      </c>
    </row>
    <row r="290" spans="12:16" hidden="1" x14ac:dyDescent="0.3">
      <c r="L290" t="s">
        <v>41</v>
      </c>
      <c r="M290" t="s">
        <v>34</v>
      </c>
      <c r="O290" s="4">
        <v>336</v>
      </c>
      <c r="P290" s="5">
        <v>144</v>
      </c>
    </row>
    <row r="291" spans="12:16" hidden="1" x14ac:dyDescent="0.3">
      <c r="L291" t="s">
        <v>7</v>
      </c>
      <c r="M291" t="s">
        <v>36</v>
      </c>
      <c r="O291" s="4">
        <v>280</v>
      </c>
      <c r="P291" s="5">
        <v>87</v>
      </c>
    </row>
    <row r="292" spans="12:16" hidden="1" x14ac:dyDescent="0.3">
      <c r="L292" t="s">
        <v>9</v>
      </c>
      <c r="M292" t="s">
        <v>37</v>
      </c>
      <c r="O292" s="4">
        <v>259</v>
      </c>
      <c r="P292" s="5">
        <v>207</v>
      </c>
    </row>
    <row r="293" spans="12:16" hidden="1" x14ac:dyDescent="0.3">
      <c r="L293" t="s">
        <v>2</v>
      </c>
      <c r="M293" t="s">
        <v>34</v>
      </c>
      <c r="O293" s="4">
        <v>252</v>
      </c>
      <c r="P293" s="5">
        <v>54</v>
      </c>
    </row>
    <row r="294" spans="12:16" hidden="1" x14ac:dyDescent="0.3">
      <c r="L294" t="s">
        <v>10</v>
      </c>
      <c r="M294" t="s">
        <v>37</v>
      </c>
      <c r="O294" s="4">
        <v>245</v>
      </c>
      <c r="P294" s="5">
        <v>288</v>
      </c>
    </row>
    <row r="295" spans="12:16" hidden="1" x14ac:dyDescent="0.3">
      <c r="L295" t="s">
        <v>2</v>
      </c>
      <c r="M295" t="s">
        <v>37</v>
      </c>
      <c r="O295" s="4">
        <v>238</v>
      </c>
      <c r="P295" s="5">
        <v>18</v>
      </c>
    </row>
    <row r="296" spans="12:16" hidden="1" x14ac:dyDescent="0.3">
      <c r="L296" t="s">
        <v>40</v>
      </c>
      <c r="M296" t="s">
        <v>36</v>
      </c>
      <c r="O296" s="4">
        <v>217</v>
      </c>
      <c r="P296" s="5">
        <v>36</v>
      </c>
    </row>
    <row r="297" spans="12:16" hidden="1" x14ac:dyDescent="0.3">
      <c r="L297" t="s">
        <v>2</v>
      </c>
      <c r="M297" t="s">
        <v>36</v>
      </c>
      <c r="O297" s="4">
        <v>189</v>
      </c>
      <c r="P297" s="5">
        <v>48</v>
      </c>
    </row>
    <row r="298" spans="12:16" hidden="1" x14ac:dyDescent="0.3">
      <c r="L298" t="s">
        <v>5</v>
      </c>
      <c r="M298" t="s">
        <v>37</v>
      </c>
      <c r="O298" s="4">
        <v>182</v>
      </c>
      <c r="P298" s="5">
        <v>48</v>
      </c>
    </row>
    <row r="299" spans="12:16" hidden="1" x14ac:dyDescent="0.3">
      <c r="L299" t="s">
        <v>8</v>
      </c>
      <c r="M299" t="s">
        <v>38</v>
      </c>
      <c r="O299" s="4">
        <v>168</v>
      </c>
      <c r="P299" s="5">
        <v>84</v>
      </c>
    </row>
    <row r="300" spans="12:16" hidden="1" x14ac:dyDescent="0.3">
      <c r="L300" t="s">
        <v>41</v>
      </c>
      <c r="M300" t="s">
        <v>38</v>
      </c>
      <c r="O300" s="4">
        <v>154</v>
      </c>
      <c r="P300" s="5">
        <v>21</v>
      </c>
    </row>
    <row r="301" spans="12:16" hidden="1" x14ac:dyDescent="0.3">
      <c r="L301" t="s">
        <v>9</v>
      </c>
      <c r="M301" t="s">
        <v>35</v>
      </c>
      <c r="O301" s="4">
        <v>98</v>
      </c>
      <c r="P301" s="5">
        <v>159</v>
      </c>
    </row>
    <row r="302" spans="12:16" hidden="1" x14ac:dyDescent="0.3">
      <c r="L302" t="s">
        <v>41</v>
      </c>
      <c r="M302" t="s">
        <v>36</v>
      </c>
      <c r="O302" s="4">
        <v>98</v>
      </c>
      <c r="P302" s="5">
        <v>204</v>
      </c>
    </row>
    <row r="303" spans="12:16" hidden="1" x14ac:dyDescent="0.3">
      <c r="L303" t="s">
        <v>10</v>
      </c>
      <c r="M303" t="s">
        <v>38</v>
      </c>
      <c r="O303" s="4">
        <v>63</v>
      </c>
      <c r="P303" s="5">
        <v>123</v>
      </c>
    </row>
    <row r="304" spans="12:16" hidden="1" x14ac:dyDescent="0.3">
      <c r="L304" t="s">
        <v>2</v>
      </c>
      <c r="M304" t="s">
        <v>38</v>
      </c>
      <c r="O304" s="4">
        <v>56</v>
      </c>
      <c r="P304" s="5">
        <v>51</v>
      </c>
    </row>
    <row r="305" spans="12:16" hidden="1" x14ac:dyDescent="0.3">
      <c r="L305" t="s">
        <v>8</v>
      </c>
      <c r="M305" t="s">
        <v>37</v>
      </c>
      <c r="O305" s="4">
        <v>42</v>
      </c>
      <c r="P305" s="5">
        <v>150</v>
      </c>
    </row>
    <row r="306" spans="12:16" hidden="1" x14ac:dyDescent="0.3">
      <c r="L306" t="s">
        <v>3</v>
      </c>
      <c r="M306" t="s">
        <v>39</v>
      </c>
      <c r="O306" s="4">
        <v>21</v>
      </c>
      <c r="P306" s="5">
        <v>168</v>
      </c>
    </row>
    <row r="307" spans="12:16" hidden="1" x14ac:dyDescent="0.3">
      <c r="L307" t="s">
        <v>40</v>
      </c>
      <c r="M307" t="s">
        <v>39</v>
      </c>
      <c r="O307" s="4">
        <v>0</v>
      </c>
      <c r="P307" s="5">
        <v>135</v>
      </c>
    </row>
  </sheetData>
  <pageMargins left="0.7" right="0.7" top="0.75" bottom="0.75" header="0.3" footer="0.3"/>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40F63-3CFD-4529-9C0F-4A0671381046}">
  <dimension ref="D2:P31"/>
  <sheetViews>
    <sheetView topLeftCell="C7" zoomScale="118" workbookViewId="0">
      <selection activeCell="F8" sqref="F8:G31"/>
    </sheetView>
  </sheetViews>
  <sheetFormatPr defaultRowHeight="14.4" x14ac:dyDescent="0.3"/>
  <cols>
    <col min="2" max="2" width="21.88671875" bestFit="1" customWidth="1"/>
    <col min="3" max="3" width="14.88671875" bestFit="1" customWidth="1"/>
    <col min="4" max="4" width="12.33203125" style="13" bestFit="1" customWidth="1"/>
    <col min="5" max="5" width="8.44140625" style="13" customWidth="1"/>
    <col min="6" max="6" width="21.88671875" bestFit="1" customWidth="1"/>
    <col min="7" max="7" width="14" style="29" bestFit="1" customWidth="1"/>
    <col min="8" max="8" width="10.88671875" bestFit="1" customWidth="1"/>
    <col min="9" max="9" width="14" style="29" bestFit="1" customWidth="1"/>
    <col min="15" max="15" width="21.88671875" bestFit="1" customWidth="1"/>
    <col min="16" max="16" width="14.5546875" bestFit="1" customWidth="1"/>
  </cols>
  <sheetData>
    <row r="2" spans="4:16" ht="18.75" customHeight="1" x14ac:dyDescent="0.3"/>
    <row r="3" spans="4:16" ht="18.75" customHeight="1" x14ac:dyDescent="0.3"/>
    <row r="4" spans="4:16" ht="35.25" customHeight="1" x14ac:dyDescent="0.3"/>
    <row r="8" spans="4:16" x14ac:dyDescent="0.3">
      <c r="D8"/>
      <c r="E8" s="25"/>
      <c r="F8" s="20" t="s">
        <v>68</v>
      </c>
      <c r="G8" s="27" t="s">
        <v>76</v>
      </c>
      <c r="I8"/>
    </row>
    <row r="9" spans="4:16" x14ac:dyDescent="0.3">
      <c r="D9"/>
      <c r="E9" s="18"/>
      <c r="F9" s="21" t="s">
        <v>14</v>
      </c>
      <c r="G9" s="27">
        <v>19525.600000000002</v>
      </c>
      <c r="I9"/>
      <c r="P9" s="11"/>
    </row>
    <row r="10" spans="4:16" x14ac:dyDescent="0.3">
      <c r="D10"/>
      <c r="E10" s="18"/>
      <c r="F10" s="21" t="s">
        <v>30</v>
      </c>
      <c r="G10" s="27">
        <v>25899.020000000004</v>
      </c>
      <c r="I10"/>
      <c r="P10" s="11"/>
    </row>
    <row r="11" spans="4:16" x14ac:dyDescent="0.3">
      <c r="D11"/>
      <c r="E11" s="18"/>
      <c r="F11" s="21" t="s">
        <v>24</v>
      </c>
      <c r="G11" s="27">
        <v>30189.32</v>
      </c>
      <c r="I11"/>
      <c r="P11" s="11"/>
    </row>
    <row r="12" spans="4:16" x14ac:dyDescent="0.3">
      <c r="D12"/>
      <c r="E12" s="18"/>
      <c r="F12" s="21" t="s">
        <v>19</v>
      </c>
      <c r="G12" s="27">
        <v>29800.16</v>
      </c>
      <c r="I12"/>
      <c r="P12" s="11"/>
    </row>
    <row r="13" spans="4:16" x14ac:dyDescent="0.3">
      <c r="D13"/>
      <c r="E13" s="18"/>
      <c r="F13" s="21" t="s">
        <v>22</v>
      </c>
      <c r="G13" s="27">
        <v>46234.960000000006</v>
      </c>
      <c r="I13"/>
      <c r="P13" s="11"/>
    </row>
    <row r="14" spans="4:16" x14ac:dyDescent="0.3">
      <c r="D14"/>
      <c r="E14" s="18"/>
      <c r="F14" s="21" t="s">
        <v>4</v>
      </c>
      <c r="G14" s="27">
        <v>14946.919999999998</v>
      </c>
      <c r="I14"/>
      <c r="P14" s="11"/>
    </row>
    <row r="15" spans="4:16" x14ac:dyDescent="0.3">
      <c r="D15"/>
      <c r="F15" s="21" t="s">
        <v>26</v>
      </c>
      <c r="G15" s="27">
        <v>58277.8</v>
      </c>
      <c r="I15"/>
      <c r="P15" s="11"/>
    </row>
    <row r="16" spans="4:16" x14ac:dyDescent="0.3">
      <c r="D16"/>
      <c r="F16" s="21" t="s">
        <v>28</v>
      </c>
      <c r="G16" s="27">
        <v>39084.339999999997</v>
      </c>
      <c r="I16"/>
      <c r="P16" s="11"/>
    </row>
    <row r="17" spans="4:16" x14ac:dyDescent="0.3">
      <c r="D17"/>
      <c r="F17" s="21" t="s">
        <v>32</v>
      </c>
      <c r="G17" s="27">
        <v>52063.35</v>
      </c>
      <c r="I17"/>
      <c r="P17" s="11"/>
    </row>
    <row r="18" spans="4:16" x14ac:dyDescent="0.3">
      <c r="D18"/>
      <c r="F18" s="21" t="s">
        <v>18</v>
      </c>
      <c r="G18" s="27">
        <v>40814.559999999998</v>
      </c>
      <c r="I18"/>
      <c r="P18" s="11"/>
    </row>
    <row r="19" spans="4:16" x14ac:dyDescent="0.3">
      <c r="D19"/>
      <c r="F19" s="21" t="s">
        <v>17</v>
      </c>
      <c r="G19" s="27">
        <v>56471.590000000004</v>
      </c>
      <c r="I19"/>
      <c r="P19" s="11"/>
    </row>
    <row r="20" spans="4:16" x14ac:dyDescent="0.3">
      <c r="D20"/>
      <c r="F20" s="21" t="s">
        <v>23</v>
      </c>
      <c r="G20" s="27">
        <v>44884.12</v>
      </c>
      <c r="I20"/>
      <c r="P20" s="11"/>
    </row>
    <row r="21" spans="4:16" x14ac:dyDescent="0.3">
      <c r="D21"/>
      <c r="F21" s="21" t="s">
        <v>29</v>
      </c>
      <c r="G21" s="27">
        <v>36700.840000000004</v>
      </c>
      <c r="I21"/>
      <c r="P21" s="11"/>
    </row>
    <row r="22" spans="4:16" x14ac:dyDescent="0.3">
      <c r="D22"/>
      <c r="F22" s="21" t="s">
        <v>13</v>
      </c>
      <c r="G22" s="27">
        <v>29721.269999999997</v>
      </c>
      <c r="I22"/>
      <c r="P22" s="11"/>
    </row>
    <row r="23" spans="4:16" x14ac:dyDescent="0.3">
      <c r="D23"/>
      <c r="F23" s="21" t="s">
        <v>16</v>
      </c>
      <c r="G23" s="27">
        <v>43177.34</v>
      </c>
      <c r="I23"/>
      <c r="P23" s="11"/>
    </row>
    <row r="24" spans="4:16" x14ac:dyDescent="0.3">
      <c r="D24"/>
      <c r="F24" s="21" t="s">
        <v>20</v>
      </c>
      <c r="G24" s="27">
        <v>31390.479999999996</v>
      </c>
      <c r="I24"/>
      <c r="P24" s="11"/>
    </row>
    <row r="25" spans="4:16" x14ac:dyDescent="0.3">
      <c r="D25"/>
      <c r="F25" s="21" t="s">
        <v>27</v>
      </c>
      <c r="G25" s="27">
        <v>19572.139999999992</v>
      </c>
      <c r="I25"/>
      <c r="P25" s="11"/>
    </row>
    <row r="26" spans="4:16" x14ac:dyDescent="0.3">
      <c r="D26"/>
      <c r="F26" s="21" t="s">
        <v>33</v>
      </c>
      <c r="G26" s="27">
        <v>46226.020000000004</v>
      </c>
      <c r="I26"/>
      <c r="P26" s="11"/>
    </row>
    <row r="27" spans="4:16" x14ac:dyDescent="0.3">
      <c r="D27"/>
      <c r="F27" s="21" t="s">
        <v>15</v>
      </c>
      <c r="G27" s="27">
        <v>50988.91</v>
      </c>
      <c r="I27"/>
      <c r="P27" s="11"/>
    </row>
    <row r="28" spans="4:16" x14ac:dyDescent="0.3">
      <c r="D28"/>
      <c r="F28" s="21" t="s">
        <v>31</v>
      </c>
      <c r="G28" s="27">
        <v>29518.43</v>
      </c>
      <c r="I28"/>
      <c r="P28" s="11"/>
    </row>
    <row r="29" spans="4:16" x14ac:dyDescent="0.3">
      <c r="D29"/>
      <c r="F29" s="21" t="s">
        <v>21</v>
      </c>
      <c r="G29" s="27">
        <v>26000</v>
      </c>
      <c r="I29"/>
      <c r="P29" s="11"/>
    </row>
    <row r="30" spans="4:16" x14ac:dyDescent="0.3">
      <c r="D30"/>
      <c r="F30" s="21" t="s">
        <v>25</v>
      </c>
      <c r="G30" s="27">
        <v>29678.099999999995</v>
      </c>
      <c r="I30"/>
      <c r="P30" s="11"/>
    </row>
    <row r="31" spans="4:16" x14ac:dyDescent="0.3">
      <c r="D31"/>
      <c r="F31" s="21" t="s">
        <v>71</v>
      </c>
      <c r="G31" s="27">
        <v>801165.27</v>
      </c>
      <c r="I31"/>
    </row>
  </sheetData>
  <conditionalFormatting sqref="E9:E14">
    <cfRule type="dataBar" priority="1">
      <dataBar showValue="0">
        <cfvo type="min"/>
        <cfvo type="max"/>
        <color rgb="FF638EC6"/>
      </dataBar>
      <extLst>
        <ext xmlns:x14="http://schemas.microsoft.com/office/spreadsheetml/2009/9/main" uri="{B025F937-C7B1-47D3-B67F-A62EFF666E3E}">
          <x14:id>{94235D58-2932-4520-B106-87AF2FC6AB74}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94235D58-2932-4520-B106-87AF2FC6AB74}">
            <x14:dataBar minLength="0" maxLength="100" border="1" negativeBarBorderColorSameAsPositive="0">
              <x14:cfvo type="autoMin"/>
              <x14:cfvo type="autoMax"/>
              <x14:borderColor rgb="FF638EC6"/>
              <x14:negativeFillColor rgb="FFFF0000"/>
              <x14:negativeBorderColor rgb="FFFF0000"/>
              <x14:axisColor rgb="FF000000"/>
            </x14:dataBar>
          </x14:cfRule>
          <xm:sqref>E9:E14</xm:sqref>
        </x14:conditionalFormatting>
      </x14:conditionalFormattings>
    </ex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D5A-8A7A-4DAC-BA0B-A27CCB438F24}">
  <dimension ref="C2:T22"/>
  <sheetViews>
    <sheetView workbookViewId="0">
      <selection activeCell="E8" sqref="E8"/>
    </sheetView>
  </sheetViews>
  <sheetFormatPr defaultRowHeight="14.4" x14ac:dyDescent="0.3"/>
  <cols>
    <col min="2" max="2" width="9.33203125" customWidth="1"/>
    <col min="3" max="3" width="15.44140625" customWidth="1"/>
    <col min="4" max="4" width="10.44140625" style="13" customWidth="1"/>
    <col min="5" max="5" width="12.109375" style="13" customWidth="1"/>
    <col min="6" max="6" width="8.88671875" customWidth="1"/>
    <col min="8" max="8" width="16" bestFit="1" customWidth="1"/>
    <col min="9" max="9" width="11.5546875" bestFit="1" customWidth="1"/>
    <col min="12" max="12" width="13.109375" bestFit="1" customWidth="1"/>
    <col min="13" max="13" width="13.33203125" bestFit="1" customWidth="1"/>
    <col min="20" max="20" width="12.5546875" bestFit="1" customWidth="1"/>
  </cols>
  <sheetData>
    <row r="2" spans="3:20" ht="18.75" customHeight="1" x14ac:dyDescent="0.3"/>
    <row r="3" spans="3:20" ht="18.75" customHeight="1" x14ac:dyDescent="0.3"/>
    <row r="4" spans="3:20" ht="35.25" customHeight="1" x14ac:dyDescent="0.3"/>
    <row r="7" spans="3:20" x14ac:dyDescent="0.3">
      <c r="T7" t="s">
        <v>77</v>
      </c>
    </row>
    <row r="8" spans="3:20" ht="18" x14ac:dyDescent="0.35">
      <c r="C8" s="34" t="s">
        <v>80</v>
      </c>
      <c r="D8" s="25"/>
      <c r="E8" s="35" t="s">
        <v>36</v>
      </c>
      <c r="F8" s="23"/>
      <c r="T8" t="str" cm="1">
        <f t="array" ref="T8:T13">_xlfn.UNIQUE(data[Geography])</f>
        <v>Canada</v>
      </c>
    </row>
    <row r="9" spans="3:20" x14ac:dyDescent="0.3">
      <c r="F9" s="30"/>
      <c r="T9" t="str">
        <v>India</v>
      </c>
    </row>
    <row r="10" spans="3:20" ht="20.25" customHeight="1" x14ac:dyDescent="0.35">
      <c r="C10" s="33" t="s">
        <v>78</v>
      </c>
      <c r="D10" s="31"/>
      <c r="E10" s="31"/>
      <c r="F10" s="32"/>
      <c r="H10" s="43" t="s">
        <v>85</v>
      </c>
      <c r="I10" s="42"/>
      <c r="J10" s="42"/>
      <c r="K10" s="42"/>
      <c r="T10" t="str">
        <v>USA</v>
      </c>
    </row>
    <row r="11" spans="3:20" x14ac:dyDescent="0.3">
      <c r="F11" s="30"/>
      <c r="T11" t="str">
        <v>UK</v>
      </c>
    </row>
    <row r="12" spans="3:20" x14ac:dyDescent="0.3">
      <c r="C12" s="37" t="s">
        <v>81</v>
      </c>
      <c r="D12" s="36"/>
      <c r="E12" s="36"/>
      <c r="F12" s="38">
        <f>COUNTIF(data[Geography],E8)</f>
        <v>50</v>
      </c>
      <c r="H12" s="44"/>
      <c r="I12" s="45" t="s">
        <v>1</v>
      </c>
      <c r="J12" s="45" t="s">
        <v>49</v>
      </c>
      <c r="K12" s="46" t="s">
        <v>86</v>
      </c>
      <c r="T12" t="str">
        <v>New Zealand</v>
      </c>
    </row>
    <row r="13" spans="3:20" x14ac:dyDescent="0.3">
      <c r="F13" s="30"/>
      <c r="H13" t="str" cm="1">
        <f t="array" ref="H13:H22">_xlfn.UNIQUE(data[Sales Person])</f>
        <v>Gigi Bohling</v>
      </c>
      <c r="I13" s="47">
        <f>SUMIFS(data[Amount],data[Sales Person],H13,data[Geography],E8)</f>
        <v>39620</v>
      </c>
      <c r="J13">
        <f>SUMIFS(data[Units],data[Sales Person],H13,data[Geography],E8)</f>
        <v>573</v>
      </c>
      <c r="K13" s="41">
        <f>IF(I13&gt;12000,1,-1)</f>
        <v>1</v>
      </c>
      <c r="T13" t="str">
        <v>Australia</v>
      </c>
    </row>
    <row r="14" spans="3:20" x14ac:dyDescent="0.3">
      <c r="C14" s="39"/>
      <c r="D14" s="40" t="s">
        <v>82</v>
      </c>
      <c r="E14" s="40" t="s">
        <v>83</v>
      </c>
      <c r="F14" s="30"/>
      <c r="H14" t="str">
        <v>Husein Augar</v>
      </c>
      <c r="I14" s="47">
        <f>SUMIFS(data[Amount],data[Sales Person],H14,data[Geography],E8)</f>
        <v>25669</v>
      </c>
      <c r="J14">
        <f>SUMIFS(data[Units],data[Sales Person],H14,data[Geography],E8)</f>
        <v>564</v>
      </c>
      <c r="K14" s="41">
        <f t="shared" ref="K14:K22" si="0">IF(I14&gt;12000,1,-1)</f>
        <v>1</v>
      </c>
    </row>
    <row r="15" spans="3:20" x14ac:dyDescent="0.3">
      <c r="C15" t="s">
        <v>79</v>
      </c>
      <c r="D15" s="13">
        <f>SUMIFS(data[Amount],data[Geography],E8)</f>
        <v>237944</v>
      </c>
      <c r="E15" s="13">
        <f>AVERAGEIFS(data[Amount],data[Geography],E8)</f>
        <v>4758.88</v>
      </c>
      <c r="H15" t="str">
        <v>Oby Sorrel</v>
      </c>
      <c r="I15" s="47">
        <f>SUMIFS(data[Amount],data[Sales Person],H15,data[Geography],E8)</f>
        <v>13797</v>
      </c>
      <c r="J15">
        <f>SUMIFS(data[Units],data[Sales Person],H15,data[Geography],E8)</f>
        <v>1053</v>
      </c>
      <c r="K15" s="41">
        <f t="shared" si="0"/>
        <v>1</v>
      </c>
    </row>
    <row r="16" spans="3:20" x14ac:dyDescent="0.3">
      <c r="C16" t="s">
        <v>75</v>
      </c>
      <c r="D16" s="13">
        <f>SUMIFS(data[Cost],data[Geography],E8)</f>
        <v>68259.839999999967</v>
      </c>
      <c r="E16" s="13">
        <f>AVERAGEIFS(data[Cost],data[Geography],E8)</f>
        <v>1365.1967999999993</v>
      </c>
      <c r="H16" t="str">
        <v>Ram Mahesh</v>
      </c>
      <c r="I16" s="47">
        <f>SUMIFS(data[Amount],data[Sales Person],H16,data[Geography],E8)</f>
        <v>23016</v>
      </c>
      <c r="J16">
        <f>SUMIFS(data[Units],data[Sales Person],H16,data[Geography],E8)</f>
        <v>663</v>
      </c>
      <c r="K16" s="41">
        <f t="shared" si="0"/>
        <v>1</v>
      </c>
    </row>
    <row r="17" spans="3:11" x14ac:dyDescent="0.3">
      <c r="C17" t="s">
        <v>76</v>
      </c>
      <c r="D17" s="13">
        <f>SUMIFS(data[Profit],data[Geography],E8)</f>
        <v>169684.15999999997</v>
      </c>
      <c r="E17" s="13">
        <f>AVERAGEIFS(data[Profit],data[Geography],E8)</f>
        <v>3393.6831999999995</v>
      </c>
      <c r="H17" t="str">
        <v>Barr Faughny</v>
      </c>
      <c r="I17" s="47">
        <f>SUMIFS(data[Amount],data[Sales Person],H17,data[Geography],E8)</f>
        <v>23709</v>
      </c>
      <c r="J17">
        <f>SUMIFS(data[Units],data[Sales Person],H17,data[Geography],E8)</f>
        <v>909</v>
      </c>
      <c r="K17" s="41">
        <f>IF(I17&gt;12000,1,-1)</f>
        <v>1</v>
      </c>
    </row>
    <row r="18" spans="3:11" x14ac:dyDescent="0.3">
      <c r="C18" t="s">
        <v>84</v>
      </c>
      <c r="D18" s="5">
        <f>SUMIFS(data[Units],data[Geography],E8)</f>
        <v>7302</v>
      </c>
      <c r="E18" s="5">
        <f>AVERAGEIFS(data[Units],data[Geography],E8)</f>
        <v>146.04</v>
      </c>
      <c r="H18" t="str">
        <v>Carla Molina</v>
      </c>
      <c r="I18" s="47">
        <f>SUMIFS(data[Amount],data[Sales Person],H18,data[Geography],E8)</f>
        <v>39242</v>
      </c>
      <c r="J18">
        <f>SUMIFS(data[Units],data[Sales Person],H18,data[Geography],E8)</f>
        <v>1482</v>
      </c>
      <c r="K18" s="41">
        <f t="shared" si="0"/>
        <v>1</v>
      </c>
    </row>
    <row r="19" spans="3:11" x14ac:dyDescent="0.3">
      <c r="H19" t="str">
        <v>Ches Bonnell</v>
      </c>
      <c r="I19" s="47">
        <f>SUMIFS(data[Amount],data[Sales Person],H19,data[Geography],E8)</f>
        <v>21931</v>
      </c>
      <c r="J19">
        <f>SUMIFS(data[Units],data[Sales Person],H19,data[Geography],E8)</f>
        <v>975</v>
      </c>
      <c r="K19" s="41">
        <f t="shared" si="0"/>
        <v>1</v>
      </c>
    </row>
    <row r="20" spans="3:11" x14ac:dyDescent="0.3">
      <c r="H20" t="str">
        <v>Curtice Advani</v>
      </c>
      <c r="I20" s="47">
        <f>SUMIFS(data[Amount],data[Sales Person],H20,data[Geography],E8)</f>
        <v>27377</v>
      </c>
      <c r="J20">
        <f>SUMIFS(data[Units],data[Sales Person],H20,data[Geography],E8)</f>
        <v>513</v>
      </c>
      <c r="K20" s="41">
        <f t="shared" si="0"/>
        <v>1</v>
      </c>
    </row>
    <row r="21" spans="3:11" x14ac:dyDescent="0.3">
      <c r="H21" t="str">
        <v>Brien Boise</v>
      </c>
      <c r="I21" s="47">
        <f>SUMIFS(data[Amount],data[Sales Person],H21,data[Geography],E8)</f>
        <v>5019</v>
      </c>
      <c r="J21">
        <f>SUMIFS(data[Units],data[Sales Person],H21,data[Geography],E8)</f>
        <v>150</v>
      </c>
      <c r="K21" s="41">
        <f t="shared" si="0"/>
        <v>-1</v>
      </c>
    </row>
    <row r="22" spans="3:11" x14ac:dyDescent="0.3">
      <c r="H22" t="str">
        <v>Gunar Cockshoot</v>
      </c>
      <c r="I22" s="47">
        <f>SUMIFS(data[Amount],data[Sales Person],H22,data[Geography],E8)</f>
        <v>18564</v>
      </c>
      <c r="J22">
        <f>SUMIFS(data[Units],data[Sales Person],H22,data[Geography],E8)</f>
        <v>420</v>
      </c>
      <c r="K22" s="41">
        <f t="shared" si="0"/>
        <v>1</v>
      </c>
    </row>
  </sheetData>
  <conditionalFormatting sqref="E9:E14">
    <cfRule type="dataBar" priority="5">
      <dataBar showValue="0">
        <cfvo type="min"/>
        <cfvo type="max"/>
        <color rgb="FF638EC6"/>
      </dataBar>
      <extLst>
        <ext xmlns:x14="http://schemas.microsoft.com/office/spreadsheetml/2009/9/main" uri="{B025F937-C7B1-47D3-B67F-A62EFF666E3E}">
          <x14:id>{839340C0-668E-4200-B0B5-DEBB683A9C8A}</x14:id>
        </ext>
      </extLst>
    </cfRule>
  </conditionalFormatting>
  <conditionalFormatting sqref="I13:I22">
    <cfRule type="dataBar" priority="1">
      <dataBar>
        <cfvo type="min"/>
        <cfvo type="max"/>
        <color rgb="FF638EC6"/>
      </dataBar>
      <extLst>
        <ext xmlns:x14="http://schemas.microsoft.com/office/spreadsheetml/2009/9/main" uri="{B025F937-C7B1-47D3-B67F-A62EFF666E3E}">
          <x14:id>{EB05333A-E0DB-4FEF-A738-9A0B458EE1C9}</x14:id>
        </ext>
      </extLst>
    </cfRule>
  </conditionalFormatting>
  <dataValidations count="1">
    <dataValidation type="list" allowBlank="1" showInputMessage="1" showErrorMessage="1" sqref="E8" xr:uid="{EE4942FF-238E-44F6-9130-A0A0D5CA01DB}">
      <formula1>$T$8:$T$13</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39340C0-668E-4200-B0B5-DEBB683A9C8A}">
            <x14:dataBar minLength="0" maxLength="100" border="1" negativeBarBorderColorSameAsPositive="0">
              <x14:cfvo type="autoMin"/>
              <x14:cfvo type="autoMax"/>
              <x14:borderColor rgb="FF638EC6"/>
              <x14:negativeFillColor rgb="FFFF0000"/>
              <x14:negativeBorderColor rgb="FFFF0000"/>
              <x14:axisColor rgb="FF000000"/>
            </x14:dataBar>
          </x14:cfRule>
          <xm:sqref>E9:E14</xm:sqref>
        </x14:conditionalFormatting>
        <x14:conditionalFormatting xmlns:xm="http://schemas.microsoft.com/office/excel/2006/main">
          <x14:cfRule type="dataBar" id="{EB05333A-E0DB-4FEF-A738-9A0B458EE1C9}">
            <x14:dataBar minLength="0" maxLength="100" gradient="0">
              <x14:cfvo type="autoMin"/>
              <x14:cfvo type="autoMax"/>
              <x14:negativeFillColor rgb="FFFF0000"/>
              <x14:axisColor rgb="FF000000"/>
            </x14:dataBar>
          </x14:cfRule>
          <xm:sqref>I13:I22</xm:sqref>
        </x14:conditionalFormatting>
        <x14:conditionalFormatting xmlns:xm="http://schemas.microsoft.com/office/excel/2006/main">
          <x14:cfRule type="iconSet" priority="2" id="{7DAC50D8-A4D3-441D-ABD7-2E5F7FB61F63}">
            <x14:iconSet iconSet="3Symbols" showValue="0" custom="1">
              <x14:cfvo type="percent">
                <xm:f>0</xm:f>
              </x14:cfvo>
              <x14:cfvo type="num">
                <xm:f>0</xm:f>
              </x14:cfvo>
              <x14:cfvo type="num">
                <xm:f>1</xm:f>
              </x14:cfvo>
              <x14:cfIcon iconSet="3Symbols" iconId="0"/>
              <x14:cfIcon iconSet="NoIcons" iconId="0"/>
              <x14:cfIcon iconSet="3Symbols" iconId="2"/>
            </x14:iconSet>
          </x14:cfRule>
          <xm:sqref>K13:K22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F711B-5221-46D4-AAB5-861C8D4E32BA}">
  <dimension ref="A3:E25"/>
  <sheetViews>
    <sheetView workbookViewId="0">
      <selection activeCell="G20" sqref="G20"/>
    </sheetView>
  </sheetViews>
  <sheetFormatPr defaultRowHeight="14.4" x14ac:dyDescent="0.3"/>
  <cols>
    <col min="1" max="1" width="21.88671875" bestFit="1" customWidth="1"/>
    <col min="2" max="2" width="14.88671875" bestFit="1" customWidth="1"/>
    <col min="3" max="3" width="12.33203125" bestFit="1" customWidth="1"/>
    <col min="4" max="4" width="10.33203125" bestFit="1" customWidth="1"/>
    <col min="5" max="5" width="8" bestFit="1" customWidth="1"/>
  </cols>
  <sheetData>
    <row r="3" spans="1:5" x14ac:dyDescent="0.3">
      <c r="A3" s="49" t="s">
        <v>68</v>
      </c>
      <c r="B3" t="s">
        <v>69</v>
      </c>
      <c r="C3" t="s">
        <v>70</v>
      </c>
      <c r="D3" t="s">
        <v>76</v>
      </c>
      <c r="E3" t="s">
        <v>87</v>
      </c>
    </row>
    <row r="4" spans="1:5" x14ac:dyDescent="0.3">
      <c r="A4" s="21" t="s">
        <v>14</v>
      </c>
      <c r="B4" s="48">
        <v>9191</v>
      </c>
      <c r="C4">
        <v>645</v>
      </c>
      <c r="D4" s="48">
        <v>1644.5</v>
      </c>
      <c r="E4" s="50">
        <v>0.17892503536067891</v>
      </c>
    </row>
    <row r="5" spans="1:5" x14ac:dyDescent="0.3">
      <c r="A5" s="21" t="s">
        <v>30</v>
      </c>
      <c r="B5" s="48">
        <v>3402</v>
      </c>
      <c r="C5">
        <v>366</v>
      </c>
      <c r="D5" s="48">
        <v>-1901.3400000000001</v>
      </c>
      <c r="E5" s="50">
        <v>-0.55888888888888888</v>
      </c>
    </row>
    <row r="6" spans="1:5" x14ac:dyDescent="0.3">
      <c r="A6" s="21" t="s">
        <v>24</v>
      </c>
      <c r="B6" s="48">
        <v>8862</v>
      </c>
      <c r="C6">
        <v>189</v>
      </c>
      <c r="D6" s="48">
        <v>7922.67</v>
      </c>
      <c r="E6" s="50">
        <v>0.89400473933649294</v>
      </c>
    </row>
    <row r="7" spans="1:5" x14ac:dyDescent="0.3">
      <c r="A7" s="21" t="s">
        <v>19</v>
      </c>
      <c r="B7" s="48">
        <v>17745</v>
      </c>
      <c r="C7">
        <v>681</v>
      </c>
      <c r="D7" s="48">
        <v>12542.16</v>
      </c>
      <c r="E7" s="50">
        <v>0.70679966187658494</v>
      </c>
    </row>
    <row r="8" spans="1:5" x14ac:dyDescent="0.3">
      <c r="A8" s="21" t="s">
        <v>22</v>
      </c>
      <c r="B8" s="48">
        <v>10668</v>
      </c>
      <c r="C8">
        <v>405</v>
      </c>
      <c r="D8" s="48">
        <v>6711.1500000000005</v>
      </c>
      <c r="E8" s="50">
        <v>0.62909167604049498</v>
      </c>
    </row>
    <row r="9" spans="1:5" x14ac:dyDescent="0.3">
      <c r="A9" s="21" t="s">
        <v>4</v>
      </c>
      <c r="B9" s="48">
        <v>525</v>
      </c>
      <c r="C9">
        <v>48</v>
      </c>
      <c r="D9" s="48">
        <v>-45.240000000000009</v>
      </c>
      <c r="E9" s="50">
        <v>-8.6171428571428593E-2</v>
      </c>
    </row>
    <row r="10" spans="1:5" x14ac:dyDescent="0.3">
      <c r="A10" s="21" t="s">
        <v>26</v>
      </c>
      <c r="B10" s="48">
        <v>22855</v>
      </c>
      <c r="C10">
        <v>567</v>
      </c>
      <c r="D10" s="48">
        <v>19679.8</v>
      </c>
      <c r="E10" s="50">
        <v>0.86107197549770287</v>
      </c>
    </row>
    <row r="11" spans="1:5" x14ac:dyDescent="0.3">
      <c r="A11" s="21" t="s">
        <v>28</v>
      </c>
      <c r="B11" s="48">
        <v>18018</v>
      </c>
      <c r="C11">
        <v>462</v>
      </c>
      <c r="D11" s="48">
        <v>13222.439999999999</v>
      </c>
      <c r="E11" s="50">
        <v>0.73384615384615381</v>
      </c>
    </row>
    <row r="12" spans="1:5" x14ac:dyDescent="0.3">
      <c r="A12" s="21" t="s">
        <v>32</v>
      </c>
      <c r="B12" s="48">
        <v>17773</v>
      </c>
      <c r="C12">
        <v>702</v>
      </c>
      <c r="D12" s="48">
        <v>11700.7</v>
      </c>
      <c r="E12" s="50">
        <v>0.65834130422551063</v>
      </c>
    </row>
    <row r="13" spans="1:5" x14ac:dyDescent="0.3">
      <c r="A13" s="21" t="s">
        <v>17</v>
      </c>
      <c r="B13" s="48">
        <v>22344</v>
      </c>
      <c r="C13">
        <v>738</v>
      </c>
      <c r="D13" s="48">
        <v>20048.82</v>
      </c>
      <c r="E13" s="50">
        <v>0.89727980665950591</v>
      </c>
    </row>
    <row r="14" spans="1:5" x14ac:dyDescent="0.3">
      <c r="A14" s="21" t="s">
        <v>23</v>
      </c>
      <c r="B14" s="48">
        <v>18081</v>
      </c>
      <c r="C14">
        <v>408</v>
      </c>
      <c r="D14" s="48">
        <v>15433.08</v>
      </c>
      <c r="E14" s="50">
        <v>0.85355234776837563</v>
      </c>
    </row>
    <row r="15" spans="1:5" x14ac:dyDescent="0.3">
      <c r="A15" s="21" t="s">
        <v>29</v>
      </c>
      <c r="B15" s="48">
        <v>6230</v>
      </c>
      <c r="C15">
        <v>177</v>
      </c>
      <c r="D15" s="48">
        <v>4962.68</v>
      </c>
      <c r="E15" s="50">
        <v>0.796577849117175</v>
      </c>
    </row>
    <row r="16" spans="1:5" x14ac:dyDescent="0.3">
      <c r="A16" s="21" t="s">
        <v>13</v>
      </c>
      <c r="B16" s="48">
        <v>252</v>
      </c>
      <c r="C16">
        <v>54</v>
      </c>
      <c r="D16" s="48">
        <v>-251.82</v>
      </c>
      <c r="E16" s="50">
        <v>-0.99928571428571422</v>
      </c>
    </row>
    <row r="17" spans="1:5" x14ac:dyDescent="0.3">
      <c r="A17" s="21" t="s">
        <v>16</v>
      </c>
      <c r="B17" s="48">
        <v>6440</v>
      </c>
      <c r="C17">
        <v>708</v>
      </c>
      <c r="D17" s="48">
        <v>216.68000000000029</v>
      </c>
      <c r="E17" s="50">
        <v>3.3645962732919303E-2</v>
      </c>
    </row>
    <row r="18" spans="1:5" x14ac:dyDescent="0.3">
      <c r="A18" s="21" t="s">
        <v>20</v>
      </c>
      <c r="B18" s="48">
        <v>28861</v>
      </c>
      <c r="C18">
        <v>987</v>
      </c>
      <c r="D18" s="48">
        <v>18379.060000000001</v>
      </c>
      <c r="E18" s="50">
        <v>0.63681300024254184</v>
      </c>
    </row>
    <row r="19" spans="1:5" x14ac:dyDescent="0.3">
      <c r="A19" s="21" t="s">
        <v>27</v>
      </c>
      <c r="B19" s="48">
        <v>13517</v>
      </c>
      <c r="C19">
        <v>363</v>
      </c>
      <c r="D19" s="48">
        <v>7444.01</v>
      </c>
      <c r="E19" s="50">
        <v>0.55071465561885036</v>
      </c>
    </row>
    <row r="20" spans="1:5" x14ac:dyDescent="0.3">
      <c r="A20" s="21" t="s">
        <v>33</v>
      </c>
      <c r="B20" s="48">
        <v>15519</v>
      </c>
      <c r="C20">
        <v>474</v>
      </c>
      <c r="D20" s="48">
        <v>9655.6200000000008</v>
      </c>
      <c r="E20" s="50">
        <v>0.62218055287067475</v>
      </c>
    </row>
    <row r="21" spans="1:5" x14ac:dyDescent="0.3">
      <c r="A21" s="21" t="s">
        <v>15</v>
      </c>
      <c r="B21" s="48">
        <v>12551</v>
      </c>
      <c r="C21">
        <v>240</v>
      </c>
      <c r="D21" s="48">
        <v>9735.7999999999993</v>
      </c>
      <c r="E21" s="50">
        <v>0.7756991474782885</v>
      </c>
    </row>
    <row r="22" spans="1:5" x14ac:dyDescent="0.3">
      <c r="A22" s="21" t="s">
        <v>31</v>
      </c>
      <c r="B22" s="48">
        <v>3507</v>
      </c>
      <c r="C22">
        <v>288</v>
      </c>
      <c r="D22" s="48">
        <v>1839.48</v>
      </c>
      <c r="E22" s="50">
        <v>0.52451668092386661</v>
      </c>
    </row>
    <row r="23" spans="1:5" x14ac:dyDescent="0.3">
      <c r="A23" s="21" t="s">
        <v>21</v>
      </c>
      <c r="B23" s="48">
        <v>6832</v>
      </c>
      <c r="C23">
        <v>27</v>
      </c>
      <c r="D23" s="48">
        <v>6589</v>
      </c>
      <c r="E23" s="50">
        <v>0.96443208430913352</v>
      </c>
    </row>
    <row r="24" spans="1:5" x14ac:dyDescent="0.3">
      <c r="A24" s="21" t="s">
        <v>25</v>
      </c>
      <c r="B24" s="48">
        <v>9296</v>
      </c>
      <c r="C24">
        <v>231</v>
      </c>
      <c r="D24" s="48">
        <v>6258.3499999999995</v>
      </c>
      <c r="E24" s="50">
        <v>0.67323042168674696</v>
      </c>
    </row>
    <row r="25" spans="1:5" x14ac:dyDescent="0.3">
      <c r="A25" s="21" t="s">
        <v>71</v>
      </c>
      <c r="B25" s="48">
        <v>252469</v>
      </c>
      <c r="C25">
        <v>8760</v>
      </c>
      <c r="D25" s="48">
        <v>171787.59999999998</v>
      </c>
      <c r="E25" s="50">
        <v>0.6804304686912056</v>
      </c>
    </row>
  </sheetData>
  <conditionalFormatting pivot="1" sqref="E4:E25">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32A3D02-9389-4165-B51F-9367F74A329A}">
  <ds:schemaRefs/>
</ds:datastoreItem>
</file>

<file path=customXml/itemProps2.xml><?xml version="1.0" encoding="utf-8"?>
<ds:datastoreItem xmlns:ds="http://schemas.openxmlformats.org/officeDocument/2006/customXml" ds:itemID="{C0122D56-9CAD-4C42-BD03-22A8A21D7661}">
  <ds:schemaRefs/>
</ds:datastoreItem>
</file>

<file path=customXml/itemProps3.xml><?xml version="1.0" encoding="utf-8"?>
<ds:datastoreItem xmlns:ds="http://schemas.openxmlformats.org/officeDocument/2006/customXml" ds:itemID="{17D00627-7617-4068-8C98-BCBB297B65A8}">
  <ds:schemaRefs/>
</ds:datastoreItem>
</file>

<file path=customXml/itemProps4.xml><?xml version="1.0" encoding="utf-8"?>
<ds:datastoreItem xmlns:ds="http://schemas.openxmlformats.org/officeDocument/2006/customXml" ds:itemID="{B60583E1-0B59-4B9D-B743-FC43A9BB45E1}">
  <ds:schemaRefs/>
</ds:datastoreItem>
</file>

<file path=customXml/itemProps5.xml><?xml version="1.0" encoding="utf-8"?>
<ds:datastoreItem xmlns:ds="http://schemas.openxmlformats.org/officeDocument/2006/customXml" ds:itemID="{18E3533B-4C5E-4D3D-949D-92F9795B1CB0}">
  <ds:schemaRefs/>
</ds:datastoreItem>
</file>

<file path=customXml/itemProps6.xml><?xml version="1.0" encoding="utf-8"?>
<ds:datastoreItem xmlns:ds="http://schemas.openxmlformats.org/officeDocument/2006/customXml" ds:itemID="{130DFB55-85F1-4887-AC7C-3628EF7BCF4E}">
  <ds:schemaRefs/>
</ds:datastoreItem>
</file>

<file path=customXml/itemProps7.xml><?xml version="1.0" encoding="utf-8"?>
<ds:datastoreItem xmlns:ds="http://schemas.openxmlformats.org/officeDocument/2006/customXml" ds:itemID="{7F48316C-4999-4EE2-85A9-5575C5B0B983}">
  <ds:schemaRefs/>
</ds:datastoreItem>
</file>

<file path=customXml/itemProps8.xml><?xml version="1.0" encoding="utf-8"?>
<ds:datastoreItem xmlns:ds="http://schemas.openxmlformats.org/officeDocument/2006/customXml" ds:itemID="{5FB9C0BD-82B2-45CF-B6F4-A031276D87DD}">
  <ds:schemaRefs/>
</ds:datastoreItem>
</file>

<file path=customXml/itemProps9.xml><?xml version="1.0" encoding="utf-8"?>
<ds:datastoreItem xmlns:ds="http://schemas.openxmlformats.org/officeDocument/2006/customXml" ds:itemID="{595957EC-8026-4040-B334-6FC8ACA3FAB2}">
  <ds:schemaRefs/>
</ds:datastoreItem>
</file>

<file path=customXml/itemProps10.xml><?xml version="1.0" encoding="utf-8"?>
<ds:datastoreItem xmlns:ds="http://schemas.openxmlformats.org/officeDocument/2006/customXml" ds:itemID="{4CC5BC3A-69F5-46A0-9AEB-0D3CFC7A3449}">
  <ds:schemaRefs/>
</ds:datastoreItem>
</file>

<file path=customXml/itemProps11.xml><?xml version="1.0" encoding="utf-8"?>
<ds:datastoreItem xmlns:ds="http://schemas.openxmlformats.org/officeDocument/2006/customXml" ds:itemID="{ED461245-88AF-43CA-A782-AE48C7CA7B87}">
  <ds:schemaRefs/>
</ds:datastoreItem>
</file>

<file path=customXml/itemProps12.xml><?xml version="1.0" encoding="utf-8"?>
<ds:datastoreItem xmlns:ds="http://schemas.openxmlformats.org/officeDocument/2006/customXml" ds:itemID="{F7933A6C-3E1E-47F6-A967-73D0054528B3}">
  <ds:schemaRefs/>
</ds:datastoreItem>
</file>

<file path=customXml/itemProps13.xml><?xml version="1.0" encoding="utf-8"?>
<ds:datastoreItem xmlns:ds="http://schemas.openxmlformats.org/officeDocument/2006/customXml" ds:itemID="{D167D6A1-DB27-4583-9003-2438731CF9C2}">
  <ds:schemaRefs/>
</ds:datastoreItem>
</file>

<file path=customXml/itemProps14.xml><?xml version="1.0" encoding="utf-8"?>
<ds:datastoreItem xmlns:ds="http://schemas.openxmlformats.org/officeDocument/2006/customXml" ds:itemID="{5C012246-9FBC-48EA-B74B-EFFD18FB8A25}">
  <ds:schemaRefs/>
</ds:datastoreItem>
</file>

<file path=customXml/itemProps15.xml><?xml version="1.0" encoding="utf-8"?>
<ds:datastoreItem xmlns:ds="http://schemas.openxmlformats.org/officeDocument/2006/customXml" ds:itemID="{8314464D-BE8F-4C83-B104-C106CCAD9CD7}">
  <ds:schemaRefs/>
</ds:datastoreItem>
</file>

<file path=customXml/itemProps16.xml><?xml version="1.0" encoding="utf-8"?>
<ds:datastoreItem xmlns:ds="http://schemas.openxmlformats.org/officeDocument/2006/customXml" ds:itemID="{96BAAA27-0027-4FFA-9CCE-AA7C9D9CD378}">
  <ds:schemaRefs/>
</ds:datastoreItem>
</file>

<file path=customXml/itemProps17.xml><?xml version="1.0" encoding="utf-8"?>
<ds:datastoreItem xmlns:ds="http://schemas.openxmlformats.org/officeDocument/2006/customXml" ds:itemID="{1F1C46AB-9E0B-4422-A0C1-A0742F61B3F4}">
  <ds:schemaRefs/>
</ds:datastoreItem>
</file>

<file path=customXml/itemProps18.xml><?xml version="1.0" encoding="utf-8"?>
<ds:datastoreItem xmlns:ds="http://schemas.openxmlformats.org/officeDocument/2006/customXml" ds:itemID="{AA2C06E4-41BF-4F97-A487-D94147D52735}">
  <ds:schemaRefs/>
</ds:datastoreItem>
</file>

<file path=customXml/itemProps19.xml><?xml version="1.0" encoding="utf-8"?>
<ds:datastoreItem xmlns:ds="http://schemas.openxmlformats.org/officeDocument/2006/customXml" ds:itemID="{15FA1109-CF9D-4B15-A1FA-9304053C2FC1}">
  <ds:schemaRefs/>
</ds:datastoreItem>
</file>

<file path=customXml/itemProps20.xml><?xml version="1.0" encoding="utf-8"?>
<ds:datastoreItem xmlns:ds="http://schemas.openxmlformats.org/officeDocument/2006/customXml" ds:itemID="{FF201FAF-7DAD-48B9-9302-32A136452F37}">
  <ds:schemaRefs/>
</ds:datastoreItem>
</file>

<file path=customXml/itemProps21.xml><?xml version="1.0" encoding="utf-8"?>
<ds:datastoreItem xmlns:ds="http://schemas.openxmlformats.org/officeDocument/2006/customXml" ds:itemID="{C14B589E-FFEE-44CE-95B8-C6B383BB368A}">
  <ds:schemaRefs/>
</ds:datastoreItem>
</file>

<file path=customXml/itemProps22.xml><?xml version="1.0" encoding="utf-8"?>
<ds:datastoreItem xmlns:ds="http://schemas.openxmlformats.org/officeDocument/2006/customXml" ds:itemID="{78E8904E-19E3-4729-96B1-D9BDE688F7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Dharun MR</cp:lastModifiedBy>
  <dcterms:created xsi:type="dcterms:W3CDTF">2021-03-14T20:21:32Z</dcterms:created>
  <dcterms:modified xsi:type="dcterms:W3CDTF">2026-01-17T04:25:17Z</dcterms:modified>
</cp:coreProperties>
</file>